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gavin_cabbage_maine_edu/Documents/Documents/SVT101/Homework/"/>
    </mc:Choice>
  </mc:AlternateContent>
  <xr:revisionPtr revIDLastSave="907" documentId="8_{DE0B3C87-DC63-1E40-8547-AFE233CF6F6F}" xr6:coauthVersionLast="47" xr6:coauthVersionMax="47" xr10:uidLastSave="{A379560A-F138-834F-B3A0-EB8D43B380BD}"/>
  <bookViews>
    <workbookView xWindow="25600" yWindow="500" windowWidth="25600" windowHeight="28300" activeTab="1" xr2:uid="{C0735304-4CC8-4341-BF92-0C06EF3E5D5A}"/>
  </bookViews>
  <sheets>
    <sheet name="Traverse 1" sheetId="9" r:id="rId1"/>
    <sheet name="Traverse 2" sheetId="10" r:id="rId2"/>
    <sheet name="Example Travers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1" i="6" l="1"/>
  <c r="B52" i="6"/>
  <c r="B53" i="6"/>
  <c r="B50" i="6"/>
  <c r="B51" i="10"/>
  <c r="B52" i="10"/>
  <c r="B53" i="10"/>
  <c r="B50" i="10"/>
  <c r="B51" i="9"/>
  <c r="B52" i="9"/>
  <c r="B53" i="9"/>
  <c r="B50" i="9"/>
  <c r="E37" i="9"/>
  <c r="E38" i="9"/>
  <c r="E39" i="9"/>
  <c r="E36" i="9"/>
  <c r="E37" i="10"/>
  <c r="E38" i="10"/>
  <c r="E39" i="10"/>
  <c r="E36" i="10"/>
  <c r="E37" i="6"/>
  <c r="E38" i="6"/>
  <c r="E39" i="6"/>
  <c r="E36" i="6"/>
  <c r="O7" i="6"/>
  <c r="J11" i="10"/>
  <c r="L11" i="10"/>
  <c r="J11" i="6"/>
  <c r="L11" i="6"/>
  <c r="L7" i="10"/>
  <c r="A76" i="10"/>
  <c r="A75" i="10"/>
  <c r="A74" i="10"/>
  <c r="A73" i="10"/>
  <c r="A69" i="10"/>
  <c r="A68" i="10"/>
  <c r="A67" i="10"/>
  <c r="A66" i="10"/>
  <c r="A62" i="10"/>
  <c r="A61" i="10"/>
  <c r="A60" i="10"/>
  <c r="A59" i="10"/>
  <c r="C46" i="10"/>
  <c r="C45" i="10"/>
  <c r="C44" i="10"/>
  <c r="C43" i="10"/>
  <c r="C39" i="10"/>
  <c r="C38" i="10"/>
  <c r="C37" i="10"/>
  <c r="C36" i="10"/>
  <c r="A32" i="10"/>
  <c r="A28" i="10"/>
  <c r="B22" i="10"/>
  <c r="B21" i="10"/>
  <c r="B20" i="10"/>
  <c r="B19" i="10"/>
  <c r="K10" i="10"/>
  <c r="J10" i="10"/>
  <c r="E10" i="10"/>
  <c r="K9" i="10"/>
  <c r="J9" i="10"/>
  <c r="E9" i="10"/>
  <c r="K8" i="10"/>
  <c r="J8" i="10"/>
  <c r="E8" i="10"/>
  <c r="O7" i="10"/>
  <c r="K7" i="10"/>
  <c r="J7" i="10"/>
  <c r="E7" i="10"/>
  <c r="O7" i="9"/>
  <c r="A76" i="9"/>
  <c r="A75" i="9"/>
  <c r="A74" i="9"/>
  <c r="A73" i="9"/>
  <c r="A69" i="9"/>
  <c r="A68" i="9"/>
  <c r="A67" i="9"/>
  <c r="A66" i="9"/>
  <c r="A62" i="9"/>
  <c r="A61" i="9"/>
  <c r="A60" i="9"/>
  <c r="A59" i="9"/>
  <c r="C46" i="9"/>
  <c r="C45" i="9"/>
  <c r="C44" i="9"/>
  <c r="C43" i="9"/>
  <c r="C39" i="9"/>
  <c r="C38" i="9"/>
  <c r="C37" i="9"/>
  <c r="C36" i="9"/>
  <c r="A32" i="9"/>
  <c r="A28" i="9"/>
  <c r="B22" i="9"/>
  <c r="B21" i="9"/>
  <c r="B20" i="9"/>
  <c r="B19" i="9"/>
  <c r="K10" i="9"/>
  <c r="J10" i="9"/>
  <c r="L7" i="9" s="1"/>
  <c r="E10" i="9"/>
  <c r="K9" i="9"/>
  <c r="J9" i="9"/>
  <c r="E9" i="9"/>
  <c r="K8" i="9"/>
  <c r="J8" i="9"/>
  <c r="E8" i="9"/>
  <c r="K7" i="9"/>
  <c r="J7" i="9"/>
  <c r="E7" i="9"/>
  <c r="A32" i="6"/>
  <c r="A28" i="6"/>
  <c r="B22" i="6"/>
  <c r="B21" i="6"/>
  <c r="B20" i="6"/>
  <c r="B19" i="6"/>
  <c r="A76" i="6"/>
  <c r="A75" i="6"/>
  <c r="A74" i="6"/>
  <c r="A73" i="6"/>
  <c r="A69" i="6"/>
  <c r="A68" i="6"/>
  <c r="A67" i="6"/>
  <c r="A66" i="6"/>
  <c r="A62" i="6"/>
  <c r="A61" i="6"/>
  <c r="A60" i="6"/>
  <c r="A59" i="6"/>
  <c r="C44" i="6"/>
  <c r="C45" i="6"/>
  <c r="C46" i="6"/>
  <c r="C43" i="6"/>
  <c r="C37" i="6"/>
  <c r="C38" i="6"/>
  <c r="C39" i="6"/>
  <c r="C36" i="6"/>
  <c r="K9" i="6"/>
  <c r="K10" i="6"/>
  <c r="K8" i="6"/>
  <c r="K7" i="6"/>
  <c r="J8" i="6"/>
  <c r="J9" i="6"/>
  <c r="J10" i="6"/>
  <c r="J7" i="6"/>
  <c r="E8" i="6"/>
  <c r="E9" i="6"/>
  <c r="E10" i="6"/>
  <c r="E7" i="6"/>
  <c r="E11" i="10" l="1"/>
  <c r="B39" i="10"/>
  <c r="D39" i="10" s="1"/>
  <c r="F39" i="10" s="1"/>
  <c r="G39" i="10" s="1"/>
  <c r="B46" i="10"/>
  <c r="D46" i="10" s="1"/>
  <c r="E46" i="10" s="1"/>
  <c r="F46" i="10" s="1"/>
  <c r="B62" i="10"/>
  <c r="B69" i="10"/>
  <c r="E62" i="10"/>
  <c r="E69" i="10"/>
  <c r="B45" i="10"/>
  <c r="D45" i="10" s="1"/>
  <c r="E45" i="10" s="1"/>
  <c r="F45" i="10" s="1"/>
  <c r="B38" i="10"/>
  <c r="D38" i="10" s="1"/>
  <c r="F38" i="10" s="1"/>
  <c r="G38" i="10" s="1"/>
  <c r="L10" i="10"/>
  <c r="E68" i="10"/>
  <c r="B68" i="10"/>
  <c r="E61" i="10"/>
  <c r="B61" i="10"/>
  <c r="B44" i="10"/>
  <c r="D44" i="10" s="1"/>
  <c r="E44" i="10" s="1"/>
  <c r="F44" i="10" s="1"/>
  <c r="B37" i="10"/>
  <c r="D37" i="10" s="1"/>
  <c r="F37" i="10" s="1"/>
  <c r="G37" i="10" s="1"/>
  <c r="C51" i="10" s="1"/>
  <c r="B60" i="10"/>
  <c r="B67" i="10"/>
  <c r="L9" i="10"/>
  <c r="C22" i="10"/>
  <c r="C20" i="10"/>
  <c r="C19" i="10"/>
  <c r="C21" i="10"/>
  <c r="B36" i="10"/>
  <c r="D36" i="10" s="1"/>
  <c r="F36" i="10" s="1"/>
  <c r="G36" i="10" s="1"/>
  <c r="B43" i="10"/>
  <c r="D43" i="10" s="1"/>
  <c r="E43" i="10" s="1"/>
  <c r="F43" i="10" s="1"/>
  <c r="E66" i="10"/>
  <c r="E59" i="10"/>
  <c r="B59" i="10"/>
  <c r="L8" i="10"/>
  <c r="B66" i="10"/>
  <c r="E11" i="9"/>
  <c r="B46" i="9"/>
  <c r="D46" i="9" s="1"/>
  <c r="E46" i="9" s="1"/>
  <c r="F46" i="9" s="1"/>
  <c r="B39" i="9"/>
  <c r="D39" i="9" s="1"/>
  <c r="F39" i="9" s="1"/>
  <c r="G39" i="9" s="1"/>
  <c r="C53" i="9" s="1"/>
  <c r="B69" i="9"/>
  <c r="B62" i="9"/>
  <c r="B45" i="9"/>
  <c r="D45" i="9" s="1"/>
  <c r="E45" i="9" s="1"/>
  <c r="F45" i="9" s="1"/>
  <c r="B38" i="9"/>
  <c r="D38" i="9" s="1"/>
  <c r="F38" i="9" s="1"/>
  <c r="G38" i="9" s="1"/>
  <c r="B68" i="9"/>
  <c r="B61" i="9"/>
  <c r="L10" i="9"/>
  <c r="B44" i="9"/>
  <c r="D44" i="9" s="1"/>
  <c r="E44" i="9" s="1"/>
  <c r="F44" i="9" s="1"/>
  <c r="B37" i="9"/>
  <c r="D37" i="9" s="1"/>
  <c r="F37" i="9" s="1"/>
  <c r="G37" i="9" s="1"/>
  <c r="B67" i="9"/>
  <c r="B60" i="9"/>
  <c r="L9" i="9"/>
  <c r="C19" i="9"/>
  <c r="C22" i="9"/>
  <c r="C21" i="9"/>
  <c r="C20" i="9"/>
  <c r="B43" i="9"/>
  <c r="D43" i="9" s="1"/>
  <c r="E43" i="9" s="1"/>
  <c r="F43" i="9" s="1"/>
  <c r="B36" i="9"/>
  <c r="D36" i="9" s="1"/>
  <c r="F36" i="9" s="1"/>
  <c r="G36" i="9" s="1"/>
  <c r="C50" i="9" s="1"/>
  <c r="B66" i="9"/>
  <c r="J11" i="9"/>
  <c r="B59" i="9"/>
  <c r="E59" i="9"/>
  <c r="E66" i="9"/>
  <c r="L8" i="9"/>
  <c r="C20" i="6"/>
  <c r="C21" i="6"/>
  <c r="C19" i="6"/>
  <c r="C22" i="6"/>
  <c r="B67" i="6"/>
  <c r="B68" i="6"/>
  <c r="B69" i="6"/>
  <c r="B66" i="6"/>
  <c r="L9" i="6"/>
  <c r="B60" i="6"/>
  <c r="L10" i="6"/>
  <c r="B61" i="6"/>
  <c r="L7" i="6"/>
  <c r="B62" i="6"/>
  <c r="B59" i="6"/>
  <c r="B38" i="6"/>
  <c r="D38" i="6" s="1"/>
  <c r="F38" i="6" s="1"/>
  <c r="G38" i="6" s="1"/>
  <c r="B45" i="6"/>
  <c r="D45" i="6" s="1"/>
  <c r="E45" i="6" s="1"/>
  <c r="F45" i="6" s="1"/>
  <c r="B39" i="6"/>
  <c r="D39" i="6" s="1"/>
  <c r="F39" i="6" s="1"/>
  <c r="G39" i="6" s="1"/>
  <c r="B46" i="6"/>
  <c r="D46" i="6" s="1"/>
  <c r="E46" i="6" s="1"/>
  <c r="F46" i="6" s="1"/>
  <c r="B37" i="6"/>
  <c r="D37" i="6" s="1"/>
  <c r="F37" i="6" s="1"/>
  <c r="G37" i="6" s="1"/>
  <c r="B44" i="6"/>
  <c r="D44" i="6" s="1"/>
  <c r="E44" i="6" s="1"/>
  <c r="F44" i="6" s="1"/>
  <c r="B36" i="6"/>
  <c r="D36" i="6" s="1"/>
  <c r="F36" i="6" s="1"/>
  <c r="G36" i="6" s="1"/>
  <c r="B43" i="6"/>
  <c r="D43" i="6" s="1"/>
  <c r="E43" i="6" s="1"/>
  <c r="F43" i="6" s="1"/>
  <c r="E11" i="6"/>
  <c r="L8" i="6"/>
  <c r="F62" i="10" l="1"/>
  <c r="F69" i="10"/>
  <c r="F68" i="10"/>
  <c r="F61" i="10"/>
  <c r="F59" i="10"/>
  <c r="F66" i="10"/>
  <c r="C53" i="10"/>
  <c r="C52" i="10"/>
  <c r="C50" i="10"/>
  <c r="C60" i="10"/>
  <c r="D60" i="10" s="1"/>
  <c r="C67" i="10"/>
  <c r="D67" i="10" s="1"/>
  <c r="E67" i="10"/>
  <c r="F67" i="10" s="1"/>
  <c r="E60" i="10"/>
  <c r="F60" i="10" s="1"/>
  <c r="L11" i="9"/>
  <c r="C52" i="9"/>
  <c r="C51" i="9"/>
  <c r="C69" i="9"/>
  <c r="D69" i="9" s="1"/>
  <c r="C62" i="9"/>
  <c r="D62" i="9" s="1"/>
  <c r="F66" i="9"/>
  <c r="F59" i="9"/>
  <c r="E62" i="9"/>
  <c r="F62" i="9" s="1"/>
  <c r="E69" i="9"/>
  <c r="F69" i="9" s="1"/>
  <c r="E61" i="9"/>
  <c r="F61" i="9" s="1"/>
  <c r="E68" i="9"/>
  <c r="F68" i="9" s="1"/>
  <c r="E60" i="9"/>
  <c r="F60" i="9" s="1"/>
  <c r="E67" i="9"/>
  <c r="F67" i="9" s="1"/>
  <c r="C66" i="9"/>
  <c r="D66" i="9" s="1"/>
  <c r="C59" i="9"/>
  <c r="D59" i="9" s="1"/>
  <c r="C52" i="6"/>
  <c r="C53" i="6"/>
  <c r="C51" i="6"/>
  <c r="C50" i="6"/>
  <c r="E67" i="6"/>
  <c r="F67" i="6" s="1"/>
  <c r="E60" i="6"/>
  <c r="F60" i="6" s="1"/>
  <c r="E68" i="6"/>
  <c r="F68" i="6" s="1"/>
  <c r="E61" i="6"/>
  <c r="F61" i="6" s="1"/>
  <c r="E66" i="6"/>
  <c r="F66" i="6" s="1"/>
  <c r="E59" i="6"/>
  <c r="F59" i="6" s="1"/>
  <c r="E69" i="6"/>
  <c r="F69" i="6" s="1"/>
  <c r="E62" i="6"/>
  <c r="F62" i="6" s="1"/>
  <c r="G67" i="10" l="1"/>
  <c r="C62" i="10"/>
  <c r="D62" i="10" s="1"/>
  <c r="G62" i="10" s="1"/>
  <c r="C69" i="10"/>
  <c r="D69" i="10" s="1"/>
  <c r="G69" i="10" s="1"/>
  <c r="C61" i="10"/>
  <c r="D61" i="10" s="1"/>
  <c r="G61" i="10" s="1"/>
  <c r="C68" i="10"/>
  <c r="D68" i="10" s="1"/>
  <c r="G68" i="10" s="1"/>
  <c r="C66" i="10"/>
  <c r="D66" i="10" s="1"/>
  <c r="G66" i="10" s="1"/>
  <c r="C59" i="10"/>
  <c r="D59" i="10" s="1"/>
  <c r="G59" i="10" s="1"/>
  <c r="G60" i="10"/>
  <c r="B74" i="10" s="1"/>
  <c r="C61" i="9"/>
  <c r="D61" i="9" s="1"/>
  <c r="G61" i="9" s="1"/>
  <c r="C68" i="9"/>
  <c r="D68" i="9" s="1"/>
  <c r="G68" i="9" s="1"/>
  <c r="C67" i="9"/>
  <c r="D67" i="9" s="1"/>
  <c r="G67" i="9" s="1"/>
  <c r="C60" i="9"/>
  <c r="D60" i="9" s="1"/>
  <c r="G60" i="9" s="1"/>
  <c r="G66" i="9"/>
  <c r="G59" i="9"/>
  <c r="B73" i="9" s="1"/>
  <c r="G69" i="9"/>
  <c r="G62" i="9"/>
  <c r="C68" i="6"/>
  <c r="D68" i="6" s="1"/>
  <c r="G68" i="6" s="1"/>
  <c r="C61" i="6"/>
  <c r="D61" i="6" s="1"/>
  <c r="G61" i="6" s="1"/>
  <c r="C69" i="6"/>
  <c r="D69" i="6" s="1"/>
  <c r="G69" i="6" s="1"/>
  <c r="C62" i="6"/>
  <c r="D62" i="6" s="1"/>
  <c r="G62" i="6" s="1"/>
  <c r="C67" i="6"/>
  <c r="D67" i="6" s="1"/>
  <c r="G67" i="6" s="1"/>
  <c r="C60" i="6"/>
  <c r="D60" i="6" s="1"/>
  <c r="G60" i="6" s="1"/>
  <c r="C66" i="6"/>
  <c r="D66" i="6" s="1"/>
  <c r="G66" i="6" s="1"/>
  <c r="C59" i="6"/>
  <c r="D59" i="6" s="1"/>
  <c r="G59" i="6" s="1"/>
  <c r="B76" i="9" l="1"/>
  <c r="B73" i="10"/>
  <c r="B76" i="10"/>
  <c r="B75" i="10"/>
  <c r="B75" i="9"/>
  <c r="B74" i="9"/>
  <c r="B76" i="6"/>
  <c r="B73" i="6"/>
  <c r="B75" i="6"/>
  <c r="B74" i="6"/>
</calcChain>
</file>

<file path=xl/sharedStrings.xml><?xml version="1.0" encoding="utf-8"?>
<sst xmlns="http://schemas.openxmlformats.org/spreadsheetml/2006/main" count="222" uniqueCount="49">
  <si>
    <t>Inputs</t>
  </si>
  <si>
    <t>Solutions</t>
  </si>
  <si>
    <t>Minutes</t>
  </si>
  <si>
    <t>Seconds</t>
  </si>
  <si>
    <t>Station #</t>
  </si>
  <si>
    <t>Foresight Distance</t>
  </si>
  <si>
    <t>Backsight Distance</t>
  </si>
  <si>
    <t>Angle Degrees</t>
  </si>
  <si>
    <t>Angle DD</t>
  </si>
  <si>
    <t>Forward Azimuth Degrees</t>
  </si>
  <si>
    <t>Degrees</t>
  </si>
  <si>
    <t>Back Azimuth DD</t>
  </si>
  <si>
    <t>Forward Azimuth DD</t>
  </si>
  <si>
    <t>should be equal</t>
  </si>
  <si>
    <t>Instrument Specifications &amp; Estimated Errors</t>
  </si>
  <si>
    <t>Angular Error (Seconds)</t>
  </si>
  <si>
    <t>Instrument Centering Error (USF)</t>
  </si>
  <si>
    <t>Target Centering Error (USF)</t>
  </si>
  <si>
    <t>Reading Error (Seconds)</t>
  </si>
  <si>
    <t>Pointing Error (Seconds)</t>
  </si>
  <si>
    <t>Direct and Reversed Reading #</t>
  </si>
  <si>
    <t>Radians</t>
  </si>
  <si>
    <t>Error Seconds</t>
  </si>
  <si>
    <t>Distance 3</t>
  </si>
  <si>
    <t>Instrument Centering Error</t>
  </si>
  <si>
    <t>Target Centering Error</t>
  </si>
  <si>
    <t>Reading Error</t>
  </si>
  <si>
    <t>Pointing Error</t>
  </si>
  <si>
    <t>Foresight Distance Error</t>
  </si>
  <si>
    <t>EDM Constant Error (USF)</t>
  </si>
  <si>
    <t>EDM Scalar Error (PPM)</t>
  </si>
  <si>
    <t>Distance Error</t>
  </si>
  <si>
    <t>Error in Latitude</t>
  </si>
  <si>
    <t>Errorless</t>
  </si>
  <si>
    <t>With Azimuth Error</t>
  </si>
  <si>
    <t>Difference</t>
  </si>
  <si>
    <t>With Distance Error</t>
  </si>
  <si>
    <t>Foresight Azimuth Error</t>
  </si>
  <si>
    <t>Error Radians</t>
  </si>
  <si>
    <t>Error in Departure</t>
  </si>
  <si>
    <t>Traverse Data</t>
  </si>
  <si>
    <t>Error in Position (USF)</t>
  </si>
  <si>
    <t>Line</t>
  </si>
  <si>
    <t>Total Error in Position</t>
  </si>
  <si>
    <t>should equal 360 DD</t>
  </si>
  <si>
    <t>Error in Latitude (USF)</t>
  </si>
  <si>
    <t>Error in Departure (USF)</t>
  </si>
  <si>
    <t>Check:</t>
  </si>
  <si>
    <t>should differ by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</si>
</sst>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5"/>
      <color theme="3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thin">
        <color auto="1"/>
      </bottom>
      <diagonal/>
    </border>
    <border>
      <left/>
      <right style="medium">
        <color indexed="64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0" fontId="1" fillId="2" borderId="1" applyNumberFormat="0" applyAlignment="0" applyProtection="0"/>
    <xf numFmtId="164" fontId="1" fillId="3" borderId="2"/>
    <xf numFmtId="2" fontId="1" fillId="3" borderId="2"/>
    <xf numFmtId="0" fontId="1" fillId="4" borderId="2"/>
    <xf numFmtId="0" fontId="4" fillId="0" borderId="4" applyNumberFormat="0" applyFill="0" applyAlignment="0" applyProtection="0"/>
    <xf numFmtId="0" fontId="1" fillId="3" borderId="2" applyNumberFormat="0"/>
  </cellStyleXfs>
  <cellXfs count="55">
    <xf numFmtId="0" fontId="0" fillId="0" borderId="0" xfId="0"/>
    <xf numFmtId="2" fontId="1" fillId="3" borderId="2" xfId="3"/>
    <xf numFmtId="0" fontId="0" fillId="0" borderId="2" xfId="0" applyBorder="1" applyAlignment="1">
      <alignment horizontal="right"/>
    </xf>
    <xf numFmtId="0" fontId="0" fillId="0" borderId="2" xfId="0" applyBorder="1"/>
    <xf numFmtId="0" fontId="1" fillId="4" borderId="2" xfId="4"/>
    <xf numFmtId="0" fontId="4" fillId="0" borderId="0" xfId="5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right"/>
    </xf>
    <xf numFmtId="0" fontId="2" fillId="0" borderId="3" xfId="0" applyFont="1" applyBorder="1"/>
    <xf numFmtId="0" fontId="0" fillId="5" borderId="0" xfId="0" applyFill="1"/>
    <xf numFmtId="0" fontId="2" fillId="5" borderId="0" xfId="0" applyFont="1" applyFill="1"/>
    <xf numFmtId="0" fontId="1" fillId="5" borderId="0" xfId="4" applyFill="1" applyBorder="1"/>
    <xf numFmtId="0" fontId="3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0" fillId="0" borderId="11" xfId="0" applyBorder="1"/>
    <xf numFmtId="0" fontId="3" fillId="0" borderId="12" xfId="0" applyFont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9" xfId="0" applyFont="1" applyBorder="1"/>
    <xf numFmtId="0" fontId="2" fillId="0" borderId="10" xfId="0" applyFont="1" applyBorder="1" applyAlignment="1">
      <alignment horizontal="right"/>
    </xf>
    <xf numFmtId="0" fontId="0" fillId="0" borderId="11" xfId="0" applyBorder="1" applyAlignment="1">
      <alignment horizontal="right"/>
    </xf>
    <xf numFmtId="0" fontId="2" fillId="0" borderId="12" xfId="0" applyFont="1" applyBorder="1" applyAlignment="1">
      <alignment horizontal="right"/>
    </xf>
    <xf numFmtId="0" fontId="1" fillId="4" borderId="13" xfId="4" applyBorder="1"/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2" fillId="0" borderId="8" xfId="0" applyFont="1" applyBorder="1"/>
    <xf numFmtId="0" fontId="1" fillId="4" borderId="18" xfId="4" applyBorder="1"/>
    <xf numFmtId="0" fontId="2" fillId="0" borderId="10" xfId="0" applyFont="1" applyBorder="1"/>
    <xf numFmtId="0" fontId="1" fillId="4" borderId="11" xfId="4" applyBorder="1"/>
    <xf numFmtId="0" fontId="2" fillId="0" borderId="12" xfId="0" applyFont="1" applyBorder="1"/>
    <xf numFmtId="0" fontId="1" fillId="4" borderId="14" xfId="4" applyBorder="1"/>
    <xf numFmtId="0" fontId="1" fillId="3" borderId="11" xfId="6" applyBorder="1"/>
    <xf numFmtId="0" fontId="1" fillId="3" borderId="14" xfId="6" applyBorder="1"/>
    <xf numFmtId="0" fontId="6" fillId="5" borderId="0" xfId="0" applyFont="1" applyFill="1"/>
    <xf numFmtId="0" fontId="7" fillId="5" borderId="0" xfId="0" applyFont="1" applyFill="1"/>
    <xf numFmtId="0" fontId="4" fillId="0" borderId="15" xfId="5" applyBorder="1" applyAlignment="1">
      <alignment horizontal="center"/>
    </xf>
    <xf numFmtId="0" fontId="4" fillId="0" borderId="16" xfId="5" applyBorder="1" applyAlignment="1">
      <alignment horizontal="center"/>
    </xf>
    <xf numFmtId="0" fontId="4" fillId="0" borderId="17" xfId="5" applyBorder="1" applyAlignment="1">
      <alignment horizontal="center"/>
    </xf>
    <xf numFmtId="0" fontId="4" fillId="0" borderId="5" xfId="5" applyBorder="1" applyAlignment="1">
      <alignment horizontal="center"/>
    </xf>
    <xf numFmtId="0" fontId="4" fillId="0" borderId="7" xfId="5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4" fillId="0" borderId="6" xfId="5" applyBorder="1" applyAlignment="1">
      <alignment horizontal="center"/>
    </xf>
    <xf numFmtId="0" fontId="0" fillId="0" borderId="0" xfId="0"/>
  </cellXfs>
  <cellStyles count="7">
    <cellStyle name="DD Solution" xfId="2" xr:uid="{74473D6E-E1BA-1A4A-B1D6-6C2AA979827A}"/>
    <cellStyle name="Heading 1" xfId="5" builtinId="16"/>
    <cellStyle name="Input" xfId="1" builtinId="20" customBuiltin="1"/>
    <cellStyle name="Normal" xfId="0" builtinId="0"/>
    <cellStyle name="Problem Input" xfId="4" xr:uid="{CABF3F27-C236-4F42-B050-E3B909EA3ED6}"/>
    <cellStyle name="Solution" xfId="6" xr:uid="{A31FB74F-F0EB-8441-96BF-515B97E4891B}"/>
    <cellStyle name="USF Solution" xfId="3" xr:uid="{0E86A904-F80E-EB43-9367-4D3E1F8C6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FBBA-86B9-DF4A-B71F-2B9FB65A657E}">
  <dimension ref="A1:P78"/>
  <sheetViews>
    <sheetView topLeftCell="A12" zoomScale="93" workbookViewId="0">
      <selection activeCell="B76" sqref="B76"/>
    </sheetView>
  </sheetViews>
  <sheetFormatPr baseColWidth="10" defaultRowHeight="16" x14ac:dyDescent="0.2"/>
  <cols>
    <col min="1" max="1" width="18.5" bestFit="1" customWidth="1"/>
    <col min="2" max="2" width="18.83203125" bestFit="1" customWidth="1"/>
    <col min="3" max="3" width="16.5" bestFit="1" customWidth="1"/>
    <col min="4" max="4" width="12.1640625" bestFit="1" customWidth="1"/>
    <col min="5" max="5" width="17.1640625" bestFit="1" customWidth="1"/>
    <col min="6" max="6" width="18.5" customWidth="1"/>
    <col min="7" max="7" width="22.6640625" bestFit="1" customWidth="1"/>
    <col min="8" max="8" width="7.6640625" customWidth="1"/>
    <col min="9" max="9" width="10.33203125" bestFit="1" customWidth="1"/>
    <col min="10" max="10" width="20.6640625" bestFit="1" customWidth="1"/>
    <col min="11" max="11" width="17.5" bestFit="1" customWidth="1"/>
    <col min="12" max="12" width="15.5" bestFit="1" customWidth="1"/>
    <col min="13" max="13" width="7.6640625" bestFit="1" customWidth="1"/>
    <col min="14" max="14" width="37.83203125" bestFit="1" customWidth="1"/>
    <col min="15" max="15" width="15" bestFit="1" customWidth="1"/>
  </cols>
  <sheetData>
    <row r="1" spans="1:16" x14ac:dyDescent="0.2">
      <c r="A1" s="4" t="s">
        <v>0</v>
      </c>
      <c r="B1" s="1" t="s">
        <v>1</v>
      </c>
    </row>
    <row r="3" spans="1:16" x14ac:dyDescent="0.2">
      <c r="A3" s="3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6" ht="17" thickBot="1" x14ac:dyDescent="0.25"/>
    <row r="5" spans="1:16" ht="21" thickBot="1" x14ac:dyDescent="0.3">
      <c r="A5" s="40" t="s">
        <v>40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2"/>
      <c r="N5" s="40" t="s">
        <v>14</v>
      </c>
      <c r="O5" s="42"/>
    </row>
    <row r="6" spans="1:16" ht="17" thickTop="1" x14ac:dyDescent="0.2">
      <c r="A6" s="22" t="s">
        <v>4</v>
      </c>
      <c r="B6" s="8" t="s">
        <v>7</v>
      </c>
      <c r="C6" s="8" t="s">
        <v>2</v>
      </c>
      <c r="D6" s="8" t="s">
        <v>3</v>
      </c>
      <c r="E6" s="8" t="s">
        <v>8</v>
      </c>
      <c r="F6" s="8" t="s">
        <v>5</v>
      </c>
      <c r="G6" s="8" t="s">
        <v>9</v>
      </c>
      <c r="H6" s="8" t="s">
        <v>2</v>
      </c>
      <c r="I6" s="8" t="s">
        <v>3</v>
      </c>
      <c r="J6" s="8" t="s">
        <v>12</v>
      </c>
      <c r="K6" s="8" t="s">
        <v>6</v>
      </c>
      <c r="L6" s="23" t="s">
        <v>11</v>
      </c>
      <c r="N6" s="30" t="s">
        <v>15</v>
      </c>
      <c r="O6" s="31">
        <v>3</v>
      </c>
      <c r="P6" s="6"/>
    </row>
    <row r="7" spans="1:16" x14ac:dyDescent="0.2">
      <c r="A7" s="24">
        <v>1</v>
      </c>
      <c r="B7" s="4">
        <v>95</v>
      </c>
      <c r="C7" s="4">
        <v>4</v>
      </c>
      <c r="D7" s="4">
        <v>37</v>
      </c>
      <c r="E7" s="2">
        <f>B7+(C7/60)+(D7/3600)</f>
        <v>95.076944444444436</v>
      </c>
      <c r="F7" s="4">
        <v>390.32</v>
      </c>
      <c r="G7" s="4">
        <v>70</v>
      </c>
      <c r="H7" s="4">
        <v>50</v>
      </c>
      <c r="I7" s="4">
        <v>4</v>
      </c>
      <c r="J7" s="2">
        <f>G7+(H7/60)+(I7/3600)</f>
        <v>70.834444444444443</v>
      </c>
      <c r="K7" s="2">
        <f>F10</f>
        <v>334.38</v>
      </c>
      <c r="L7" s="25">
        <f>IF(J10+180&gt;360, J10-180,J10+180)</f>
        <v>335.75749999999999</v>
      </c>
      <c r="N7" s="32" t="s">
        <v>29</v>
      </c>
      <c r="O7" s="33">
        <f>2*3937/1200/1000</f>
        <v>6.5616666666666662E-3</v>
      </c>
    </row>
    <row r="8" spans="1:16" x14ac:dyDescent="0.2">
      <c r="A8" s="24">
        <v>2</v>
      </c>
      <c r="B8" s="4">
        <v>105</v>
      </c>
      <c r="C8" s="4">
        <v>48</v>
      </c>
      <c r="D8" s="4">
        <v>49</v>
      </c>
      <c r="E8" s="2">
        <f t="shared" ref="E8:E10" si="0">B8+(C8/60)+(D8/3600)</f>
        <v>105.81361111111111</v>
      </c>
      <c r="F8" s="4">
        <v>276.07</v>
      </c>
      <c r="G8" s="4">
        <v>356</v>
      </c>
      <c r="H8" s="4">
        <v>38</v>
      </c>
      <c r="I8" s="4">
        <v>53</v>
      </c>
      <c r="J8" s="2">
        <f t="shared" ref="J8:J10" si="1">G8+(H8/60)+(I8/3600)</f>
        <v>356.64805555555557</v>
      </c>
      <c r="K8" s="2">
        <f>F7</f>
        <v>390.32</v>
      </c>
      <c r="L8" s="25">
        <f>IF(J7+180&gt;360, J7-180,J7+180)</f>
        <v>250.83444444444444</v>
      </c>
      <c r="N8" s="32" t="s">
        <v>30</v>
      </c>
      <c r="O8" s="33">
        <v>4</v>
      </c>
    </row>
    <row r="9" spans="1:16" x14ac:dyDescent="0.2">
      <c r="A9" s="24">
        <v>3</v>
      </c>
      <c r="B9" s="4">
        <v>81</v>
      </c>
      <c r="C9" s="4">
        <v>56</v>
      </c>
      <c r="D9" s="4">
        <v>36</v>
      </c>
      <c r="E9" s="2">
        <f t="shared" si="0"/>
        <v>81.943333333333342</v>
      </c>
      <c r="F9" s="4">
        <v>499.71</v>
      </c>
      <c r="G9" s="4">
        <v>258</v>
      </c>
      <c r="H9" s="4">
        <v>35</v>
      </c>
      <c r="I9" s="4">
        <v>29</v>
      </c>
      <c r="J9" s="2">
        <f t="shared" si="1"/>
        <v>258.59138888888884</v>
      </c>
      <c r="K9" s="2">
        <f t="shared" ref="K9:K10" si="2">F8</f>
        <v>276.07</v>
      </c>
      <c r="L9" s="25">
        <f t="shared" ref="L9:L10" si="3">IF(J8+180&gt;360, J8-180,J8+180)</f>
        <v>176.64805555555557</v>
      </c>
      <c r="N9" s="32" t="s">
        <v>16</v>
      </c>
      <c r="O9" s="33">
        <v>6.6E-3</v>
      </c>
    </row>
    <row r="10" spans="1:16" ht="17" thickBot="1" x14ac:dyDescent="0.25">
      <c r="A10" s="26">
        <v>4</v>
      </c>
      <c r="B10" s="27">
        <v>77</v>
      </c>
      <c r="C10" s="27">
        <v>9</v>
      </c>
      <c r="D10" s="27">
        <v>58</v>
      </c>
      <c r="E10" s="28">
        <f t="shared" si="0"/>
        <v>77.166111111111121</v>
      </c>
      <c r="F10" s="27">
        <v>334.38</v>
      </c>
      <c r="G10" s="27">
        <v>155</v>
      </c>
      <c r="H10" s="27">
        <v>45</v>
      </c>
      <c r="I10" s="27">
        <v>27</v>
      </c>
      <c r="J10" s="28">
        <f t="shared" si="1"/>
        <v>155.75749999999999</v>
      </c>
      <c r="K10" s="28">
        <f t="shared" si="2"/>
        <v>499.71</v>
      </c>
      <c r="L10" s="29">
        <f t="shared" si="3"/>
        <v>78.591388888888844</v>
      </c>
      <c r="N10" s="32" t="s">
        <v>17</v>
      </c>
      <c r="O10" s="33">
        <v>9.9000000000000008E-3</v>
      </c>
    </row>
    <row r="11" spans="1:16" x14ac:dyDescent="0.2">
      <c r="D11" s="20" t="s">
        <v>47</v>
      </c>
      <c r="E11" s="20">
        <f>SUM(E7:E10)</f>
        <v>360</v>
      </c>
      <c r="F11" s="19" t="s">
        <v>44</v>
      </c>
      <c r="I11" s="20" t="s">
        <v>47</v>
      </c>
      <c r="J11" s="20">
        <f>SUM(J7:J10)</f>
        <v>841.8313888888888</v>
      </c>
      <c r="K11" s="21" t="s">
        <v>13</v>
      </c>
      <c r="L11" s="19">
        <f>SUM(L7:L10)</f>
        <v>841.8313888888888</v>
      </c>
      <c r="N11" s="32" t="s">
        <v>18</v>
      </c>
      <c r="O11" s="33">
        <v>6</v>
      </c>
    </row>
    <row r="12" spans="1:16" x14ac:dyDescent="0.2">
      <c r="N12" s="32" t="s">
        <v>19</v>
      </c>
      <c r="O12" s="33">
        <v>4</v>
      </c>
    </row>
    <row r="13" spans="1:16" ht="17" thickBot="1" x14ac:dyDescent="0.25">
      <c r="N13" s="34" t="s">
        <v>20</v>
      </c>
      <c r="O13" s="35">
        <v>4</v>
      </c>
    </row>
    <row r="15" spans="1:16" x14ac:dyDescent="0.2">
      <c r="A15" s="3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  <c r="O15" s="11"/>
    </row>
    <row r="16" spans="1:16" ht="17" thickBot="1" x14ac:dyDescent="0.25"/>
    <row r="17" spans="1:15" ht="21" thickBot="1" x14ac:dyDescent="0.3">
      <c r="A17" s="40" t="s">
        <v>28</v>
      </c>
      <c r="B17" s="41"/>
      <c r="C17" s="42"/>
    </row>
    <row r="18" spans="1:15" ht="17" thickTop="1" x14ac:dyDescent="0.2">
      <c r="A18" s="22" t="s">
        <v>4</v>
      </c>
      <c r="B18" s="7" t="s">
        <v>5</v>
      </c>
      <c r="C18" s="13" t="s">
        <v>31</v>
      </c>
    </row>
    <row r="19" spans="1:15" x14ac:dyDescent="0.2">
      <c r="A19" s="32">
        <v>1</v>
      </c>
      <c r="B19" s="3">
        <f>F7</f>
        <v>390.32</v>
      </c>
      <c r="C19" s="15">
        <f>SQRT($O$9^2+$O$10^2+$O$7^2+($O$8/1000000*B19)^2)</f>
        <v>1.36771000099745E-2</v>
      </c>
    </row>
    <row r="20" spans="1:15" x14ac:dyDescent="0.2">
      <c r="A20" s="32">
        <v>2</v>
      </c>
      <c r="B20" s="3">
        <f>F8</f>
        <v>276.07</v>
      </c>
      <c r="C20" s="15">
        <f t="shared" ref="C20:C22" si="4">SQRT($O$9^2+$O$10^2+$O$7^2+($O$8/1000000*B20)^2)</f>
        <v>1.3632494407218528E-2</v>
      </c>
    </row>
    <row r="21" spans="1:15" x14ac:dyDescent="0.2">
      <c r="A21" s="32">
        <v>3</v>
      </c>
      <c r="B21" s="3">
        <f>F9</f>
        <v>499.71</v>
      </c>
      <c r="C21" s="15">
        <f t="shared" si="4"/>
        <v>1.3733929910628074E-2</v>
      </c>
    </row>
    <row r="22" spans="1:15" ht="17" thickBot="1" x14ac:dyDescent="0.25">
      <c r="A22" s="34">
        <v>4</v>
      </c>
      <c r="B22" s="17">
        <f>F10</f>
        <v>334.38</v>
      </c>
      <c r="C22" s="18">
        <f t="shared" si="4"/>
        <v>1.3653366954522406E-2</v>
      </c>
    </row>
    <row r="24" spans="1:15" x14ac:dyDescent="0.2">
      <c r="A24" s="3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17" thickBot="1" x14ac:dyDescent="0.25"/>
    <row r="26" spans="1:15" ht="21" thickBot="1" x14ac:dyDescent="0.3">
      <c r="A26" s="43" t="s">
        <v>26</v>
      </c>
      <c r="B26" s="44"/>
    </row>
    <row r="27" spans="1:15" ht="17" thickTop="1" x14ac:dyDescent="0.2">
      <c r="A27" s="45" t="s">
        <v>22</v>
      </c>
      <c r="B27" s="46"/>
    </row>
    <row r="28" spans="1:15" ht="17" thickBot="1" x14ac:dyDescent="0.25">
      <c r="A28" s="47">
        <f>O11/SQRT(O13)</f>
        <v>3</v>
      </c>
      <c r="B28" s="48"/>
    </row>
    <row r="29" spans="1:15" ht="17" thickBot="1" x14ac:dyDescent="0.25"/>
    <row r="30" spans="1:15" ht="21" thickBot="1" x14ac:dyDescent="0.3">
      <c r="A30" s="43" t="s">
        <v>27</v>
      </c>
      <c r="B30" s="44"/>
    </row>
    <row r="31" spans="1:15" ht="17" thickTop="1" x14ac:dyDescent="0.2">
      <c r="A31" s="49" t="s">
        <v>22</v>
      </c>
      <c r="B31" s="50"/>
    </row>
    <row r="32" spans="1:15" ht="17" thickBot="1" x14ac:dyDescent="0.25">
      <c r="A32" s="51">
        <f>O12/SQRT(O13)</f>
        <v>2</v>
      </c>
      <c r="B32" s="52"/>
    </row>
    <row r="33" spans="1:7" ht="17" thickBot="1" x14ac:dyDescent="0.25"/>
    <row r="34" spans="1:7" ht="21" thickBot="1" x14ac:dyDescent="0.3">
      <c r="A34" s="43" t="s">
        <v>24</v>
      </c>
      <c r="B34" s="53"/>
      <c r="C34" s="53"/>
      <c r="D34" s="53"/>
      <c r="E34" s="53"/>
      <c r="F34" s="53"/>
      <c r="G34" s="44"/>
    </row>
    <row r="35" spans="1:7" ht="17" thickTop="1" x14ac:dyDescent="0.2">
      <c r="A35" s="12" t="s">
        <v>4</v>
      </c>
      <c r="B35" s="7" t="s">
        <v>6</v>
      </c>
      <c r="C35" s="7" t="s">
        <v>5</v>
      </c>
      <c r="D35" s="7" t="s">
        <v>23</v>
      </c>
      <c r="E35" s="7" t="s">
        <v>21</v>
      </c>
      <c r="F35" s="7" t="s">
        <v>10</v>
      </c>
      <c r="G35" s="13" t="s">
        <v>22</v>
      </c>
    </row>
    <row r="36" spans="1:7" x14ac:dyDescent="0.2">
      <c r="A36" s="14">
        <v>1</v>
      </c>
      <c r="B36" s="3">
        <f>K7</f>
        <v>334.38</v>
      </c>
      <c r="C36" s="3">
        <f>F7</f>
        <v>390.32</v>
      </c>
      <c r="D36" s="3">
        <f>SQRT(B36^2+C36^2-(2*B36*C36*COS(RADIANS(E7))))</f>
        <v>535.96564954468863</v>
      </c>
      <c r="E36" s="3">
        <f>(D36/(B36*C36))*(($O$9)/SQRT(2))</f>
        <v>1.9164822244141347E-5</v>
      </c>
      <c r="F36" s="3">
        <f>DEGREES(E36)</f>
        <v>1.0980634297077382E-3</v>
      </c>
      <c r="G36" s="15">
        <f>F36*3600</f>
        <v>3.9530283469478573</v>
      </c>
    </row>
    <row r="37" spans="1:7" x14ac:dyDescent="0.2">
      <c r="A37" s="14">
        <v>2</v>
      </c>
      <c r="B37" s="3">
        <f t="shared" ref="B37:B39" si="5">K8</f>
        <v>390.32</v>
      </c>
      <c r="C37" s="3">
        <f t="shared" ref="C37:C39" si="6">F8</f>
        <v>276.07</v>
      </c>
      <c r="D37" s="3">
        <f>SQRT(B37^2+C37^2-(2*B37*C37*COS(RADIANS(E8))))</f>
        <v>535.99727031118073</v>
      </c>
      <c r="E37" s="3">
        <f t="shared" ref="E37:E39" si="7">(D37/(B37*C37))*(($O$9)/SQRT(2))</f>
        <v>2.3214080991157433E-5</v>
      </c>
      <c r="F37" s="3">
        <f t="shared" ref="F37:F39" si="8">DEGREES(E37)</f>
        <v>1.3300688660681918E-3</v>
      </c>
      <c r="G37" s="15">
        <f t="shared" ref="G37:G39" si="9">F37*3600</f>
        <v>4.7882479178454904</v>
      </c>
    </row>
    <row r="38" spans="1:7" x14ac:dyDescent="0.2">
      <c r="A38" s="14">
        <v>3</v>
      </c>
      <c r="B38" s="3">
        <f t="shared" si="5"/>
        <v>276.07</v>
      </c>
      <c r="C38" s="3">
        <f t="shared" si="6"/>
        <v>499.71</v>
      </c>
      <c r="D38" s="3">
        <f>SQRT(B38^2+C38^2-(2*B38*C38*COS(RADIANS(E9))))</f>
        <v>535.96202254613195</v>
      </c>
      <c r="E38" s="3">
        <f t="shared" si="7"/>
        <v>1.8131164548401156E-5</v>
      </c>
      <c r="F38" s="3">
        <f t="shared" si="8"/>
        <v>1.0388392062806076E-3</v>
      </c>
      <c r="G38" s="15">
        <f t="shared" si="9"/>
        <v>3.7398211426101873</v>
      </c>
    </row>
    <row r="39" spans="1:7" ht="17" thickBot="1" x14ac:dyDescent="0.25">
      <c r="A39" s="16">
        <v>4</v>
      </c>
      <c r="B39" s="17">
        <f t="shared" si="5"/>
        <v>499.71</v>
      </c>
      <c r="C39" s="17">
        <f t="shared" si="6"/>
        <v>334.38</v>
      </c>
      <c r="D39" s="17">
        <f>SQRT(B39^2+C39^2-(2*B39*C39*COS(RADIANS(E10))))</f>
        <v>535.99338814100565</v>
      </c>
      <c r="E39" s="17">
        <f t="shared" si="7"/>
        <v>1.4970283890377724E-5</v>
      </c>
      <c r="F39" s="17">
        <f t="shared" si="8"/>
        <v>8.5773408503133036E-4</v>
      </c>
      <c r="G39" s="18">
        <f t="shared" si="9"/>
        <v>3.0878427061127893</v>
      </c>
    </row>
    <row r="40" spans="1:7" ht="17" thickBot="1" x14ac:dyDescent="0.25"/>
    <row r="41" spans="1:7" ht="21" thickBot="1" x14ac:dyDescent="0.3">
      <c r="A41" s="40" t="s">
        <v>25</v>
      </c>
      <c r="B41" s="41"/>
      <c r="C41" s="41"/>
      <c r="D41" s="41"/>
      <c r="E41" s="41"/>
      <c r="F41" s="42"/>
      <c r="G41" s="5"/>
    </row>
    <row r="42" spans="1:7" ht="17" thickTop="1" x14ac:dyDescent="0.2">
      <c r="A42" s="12" t="s">
        <v>4</v>
      </c>
      <c r="B42" s="7" t="s">
        <v>6</v>
      </c>
      <c r="C42" s="7" t="s">
        <v>5</v>
      </c>
      <c r="D42" s="7" t="s">
        <v>21</v>
      </c>
      <c r="E42" s="7" t="s">
        <v>10</v>
      </c>
      <c r="F42" s="13" t="s">
        <v>22</v>
      </c>
    </row>
    <row r="43" spans="1:7" x14ac:dyDescent="0.2">
      <c r="A43" s="14">
        <v>1</v>
      </c>
      <c r="B43" s="3">
        <f>K7</f>
        <v>334.38</v>
      </c>
      <c r="C43" s="3">
        <f>F7</f>
        <v>390.32</v>
      </c>
      <c r="D43" s="3">
        <f>(SQRT(B43^2+C43^2)/(B43*C43))*($O$10)</f>
        <v>3.8985882232662461E-5</v>
      </c>
      <c r="E43" s="3">
        <f>DEGREES(D43)</f>
        <v>2.2337265125256219E-3</v>
      </c>
      <c r="F43" s="15">
        <f>E43*3600</f>
        <v>8.0414154450922393</v>
      </c>
    </row>
    <row r="44" spans="1:7" x14ac:dyDescent="0.2">
      <c r="A44" s="14">
        <v>2</v>
      </c>
      <c r="B44" s="3">
        <f t="shared" ref="B44:B46" si="10">K8</f>
        <v>390.32</v>
      </c>
      <c r="C44" s="3">
        <f t="shared" ref="C44:C46" si="11">F8</f>
        <v>276.07</v>
      </c>
      <c r="D44" s="3">
        <f t="shared" ref="D44:D46" si="12">(SQRT(B44^2+C44^2)/(B44*C44))*($O$10)</f>
        <v>4.3923750718265546E-5</v>
      </c>
      <c r="E44" s="3">
        <f t="shared" ref="E44:E46" si="13">DEGREES(D44)</f>
        <v>2.516645536541334E-3</v>
      </c>
      <c r="F44" s="15">
        <f t="shared" ref="F44:F46" si="14">E44*3600</f>
        <v>9.059923931548802</v>
      </c>
    </row>
    <row r="45" spans="1:7" x14ac:dyDescent="0.2">
      <c r="A45" s="14">
        <v>3</v>
      </c>
      <c r="B45" s="3">
        <f t="shared" si="10"/>
        <v>276.07</v>
      </c>
      <c r="C45" s="3">
        <f t="shared" si="11"/>
        <v>499.71</v>
      </c>
      <c r="D45" s="3">
        <f t="shared" si="12"/>
        <v>4.0969116212216344E-5</v>
      </c>
      <c r="E45" s="3">
        <f t="shared" si="13"/>
        <v>2.3473574493409941E-3</v>
      </c>
      <c r="F45" s="15">
        <f t="shared" si="14"/>
        <v>8.4504868176275796</v>
      </c>
    </row>
    <row r="46" spans="1:7" ht="17" thickBot="1" x14ac:dyDescent="0.25">
      <c r="A46" s="16">
        <v>4</v>
      </c>
      <c r="B46" s="17">
        <f t="shared" si="10"/>
        <v>499.71</v>
      </c>
      <c r="C46" s="17">
        <f t="shared" si="11"/>
        <v>334.38</v>
      </c>
      <c r="D46" s="17">
        <f t="shared" si="12"/>
        <v>3.5624031488712526E-5</v>
      </c>
      <c r="E46" s="17">
        <f t="shared" si="13"/>
        <v>2.0411066535443749E-3</v>
      </c>
      <c r="F46" s="18">
        <f t="shared" si="14"/>
        <v>7.3479839527597495</v>
      </c>
    </row>
    <row r="47" spans="1:7" ht="17" thickBot="1" x14ac:dyDescent="0.25"/>
    <row r="48" spans="1:7" ht="21" thickBot="1" x14ac:dyDescent="0.3">
      <c r="A48" s="40" t="s">
        <v>37</v>
      </c>
      <c r="B48" s="41"/>
      <c r="C48" s="42"/>
      <c r="E48" s="54"/>
      <c r="F48" s="54"/>
      <c r="G48" s="54"/>
    </row>
    <row r="49" spans="1:15" ht="17" thickTop="1" x14ac:dyDescent="0.2">
      <c r="A49" s="22" t="s">
        <v>4</v>
      </c>
      <c r="B49" s="7" t="s">
        <v>22</v>
      </c>
      <c r="C49" s="13" t="s">
        <v>38</v>
      </c>
    </row>
    <row r="50" spans="1:15" x14ac:dyDescent="0.2">
      <c r="A50" s="32">
        <v>1</v>
      </c>
      <c r="B50" s="3">
        <f>SQRT(G36^2+F43^2+$A$28^2+$A$32^2)</f>
        <v>9.658716036427478</v>
      </c>
      <c r="C50" s="15">
        <f>RADIANS(B50/3600)</f>
        <v>4.6826776764121125E-5</v>
      </c>
    </row>
    <row r="51" spans="1:15" x14ac:dyDescent="0.2">
      <c r="A51" s="32">
        <v>2</v>
      </c>
      <c r="B51" s="3">
        <f t="shared" ref="B51:B53" si="15">SQRT(G37^2+F44^2+$A$28^2+$A$32^2)</f>
        <v>10.863219585749079</v>
      </c>
      <c r="C51" s="15">
        <f t="shared" ref="C51:C53" si="16">RADIANS(B51/3600)</f>
        <v>5.266637476068219E-5</v>
      </c>
    </row>
    <row r="52" spans="1:15" x14ac:dyDescent="0.2">
      <c r="A52" s="32">
        <v>3</v>
      </c>
      <c r="B52" s="3">
        <f t="shared" si="15"/>
        <v>9.9195256758381181</v>
      </c>
      <c r="C52" s="15">
        <f t="shared" si="16"/>
        <v>4.8091217577636352E-5</v>
      </c>
    </row>
    <row r="53" spans="1:15" ht="17" thickBot="1" x14ac:dyDescent="0.25">
      <c r="A53" s="34">
        <v>4</v>
      </c>
      <c r="B53" s="17">
        <f t="shared" si="15"/>
        <v>8.748007815937795</v>
      </c>
      <c r="C53" s="18">
        <f t="shared" si="16"/>
        <v>4.2411538716197944E-5</v>
      </c>
    </row>
    <row r="55" spans="1:15" x14ac:dyDescent="0.2">
      <c r="A55" s="39"/>
      <c r="B55" s="9"/>
      <c r="C55" s="9"/>
      <c r="D55" s="9"/>
      <c r="E55" s="10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ht="17" thickBot="1" x14ac:dyDescent="0.25"/>
    <row r="57" spans="1:15" ht="21" thickBot="1" x14ac:dyDescent="0.3">
      <c r="A57" s="43" t="s">
        <v>32</v>
      </c>
      <c r="B57" s="53"/>
      <c r="C57" s="53"/>
      <c r="D57" s="53"/>
      <c r="E57" s="53"/>
      <c r="F57" s="53"/>
      <c r="G57" s="44"/>
    </row>
    <row r="58" spans="1:15" ht="17" thickTop="1" x14ac:dyDescent="0.2">
      <c r="A58" s="22" t="s">
        <v>42</v>
      </c>
      <c r="B58" s="7" t="s">
        <v>33</v>
      </c>
      <c r="C58" s="7" t="s">
        <v>34</v>
      </c>
      <c r="D58" s="7" t="s">
        <v>35</v>
      </c>
      <c r="E58" s="7" t="s">
        <v>36</v>
      </c>
      <c r="F58" s="7" t="s">
        <v>35</v>
      </c>
      <c r="G58" s="13" t="s">
        <v>45</v>
      </c>
    </row>
    <row r="59" spans="1:15" x14ac:dyDescent="0.2">
      <c r="A59" s="24" t="str">
        <f>"1-2"</f>
        <v>1-2</v>
      </c>
      <c r="B59" s="3">
        <f>COS(RADIANS(J7))*F7</f>
        <v>128.14161009110759</v>
      </c>
      <c r="C59" s="3">
        <f>COS(RADIANS(J7)+C50)*F7</f>
        <v>128.12434556956794</v>
      </c>
      <c r="D59" s="3">
        <f>B59-C59</f>
        <v>1.7264521539658517E-2</v>
      </c>
      <c r="E59" s="3">
        <f>COS(RADIANS(J7))*(F7+C19)</f>
        <v>128.1461002674159</v>
      </c>
      <c r="F59" s="3">
        <f>B59-E59</f>
        <v>-4.4901763083089463E-3</v>
      </c>
      <c r="G59" s="36">
        <f>SQRT(D59^2+F59^2)</f>
        <v>1.7838872926085658E-2</v>
      </c>
    </row>
    <row r="60" spans="1:15" x14ac:dyDescent="0.2">
      <c r="A60" s="24" t="str">
        <f>"2-3"</f>
        <v>2-3</v>
      </c>
      <c r="B60" s="3">
        <f>COS(RADIANS(J8))*F8</f>
        <v>275.59770460690595</v>
      </c>
      <c r="C60" s="3">
        <f>COS(RADIANS(J8)+C51)*F8</f>
        <v>275.59855434238938</v>
      </c>
      <c r="D60" s="3">
        <f t="shared" ref="D60:D62" si="17">B60-C60</f>
        <v>-8.4973548342759386E-4</v>
      </c>
      <c r="E60" s="3">
        <f>COS(RADIANS(J8))*(F8+C20)</f>
        <v>275.61131377909669</v>
      </c>
      <c r="F60" s="3">
        <f t="shared" ref="F60:F62" si="18">B60-E60</f>
        <v>-1.3609172190740537E-2</v>
      </c>
      <c r="G60" s="36">
        <f t="shared" ref="G60:G62" si="19">SQRT(D60^2+F60^2)</f>
        <v>1.3635674464764165E-2</v>
      </c>
    </row>
    <row r="61" spans="1:15" x14ac:dyDescent="0.2">
      <c r="A61" s="24" t="str">
        <f>"3-4"</f>
        <v>3-4</v>
      </c>
      <c r="B61" s="3">
        <f>COS(RADIANS(J9))*F9</f>
        <v>-98.844969296072151</v>
      </c>
      <c r="C61" s="3">
        <f>COS(RADIANS(J9)+C52)*F9</f>
        <v>-98.821412350071896</v>
      </c>
      <c r="D61" s="3">
        <f t="shared" si="17"/>
        <v>-2.3556946000255152E-2</v>
      </c>
      <c r="E61" s="3">
        <f>COS(RADIANS(J9))*(F9+C21)</f>
        <v>-98.847685931481351</v>
      </c>
      <c r="F61" s="3">
        <f t="shared" si="18"/>
        <v>2.7166354092003075E-3</v>
      </c>
      <c r="G61" s="36">
        <f t="shared" si="19"/>
        <v>2.3713072614181784E-2</v>
      </c>
    </row>
    <row r="62" spans="1:15" ht="17" thickBot="1" x14ac:dyDescent="0.25">
      <c r="A62" s="26" t="str">
        <f>"4-1"</f>
        <v>4-1</v>
      </c>
      <c r="B62" s="17">
        <f>COS(RADIANS(J10))*F10</f>
        <v>-304.89296678188623</v>
      </c>
      <c r="C62" s="17">
        <f>COS(RADIANS(J10)+C53)*F10</f>
        <v>-304.8987894533501</v>
      </c>
      <c r="D62" s="17">
        <f t="shared" si="17"/>
        <v>5.8226714638749399E-3</v>
      </c>
      <c r="E62" s="17">
        <f>COS(RADIANS(J10))*(F10+C22)</f>
        <v>-304.90541613758137</v>
      </c>
      <c r="F62" s="17">
        <f t="shared" si="18"/>
        <v>1.2449355695139275E-2</v>
      </c>
      <c r="G62" s="37">
        <f t="shared" si="19"/>
        <v>1.3743724393348413E-2</v>
      </c>
    </row>
    <row r="63" spans="1:15" ht="17" thickBot="1" x14ac:dyDescent="0.25"/>
    <row r="64" spans="1:15" ht="21" thickBot="1" x14ac:dyDescent="0.3">
      <c r="A64" s="43" t="s">
        <v>39</v>
      </c>
      <c r="B64" s="53"/>
      <c r="C64" s="53"/>
      <c r="D64" s="53"/>
      <c r="E64" s="53"/>
      <c r="F64" s="53"/>
      <c r="G64" s="44"/>
    </row>
    <row r="65" spans="1:15" ht="17" thickTop="1" x14ac:dyDescent="0.2">
      <c r="A65" s="22" t="s">
        <v>42</v>
      </c>
      <c r="B65" s="7" t="s">
        <v>33</v>
      </c>
      <c r="C65" s="7" t="s">
        <v>34</v>
      </c>
      <c r="D65" s="7" t="s">
        <v>35</v>
      </c>
      <c r="E65" s="7" t="s">
        <v>36</v>
      </c>
      <c r="F65" s="7" t="s">
        <v>35</v>
      </c>
      <c r="G65" s="13" t="s">
        <v>46</v>
      </c>
    </row>
    <row r="66" spans="1:15" x14ac:dyDescent="0.2">
      <c r="A66" s="24" t="str">
        <f>"1-2"</f>
        <v>1-2</v>
      </c>
      <c r="B66" s="3">
        <f>SIN(RADIANS(J7))*F7</f>
        <v>368.68608620784505</v>
      </c>
      <c r="C66" s="3">
        <f>SIN(RADIANS(J7)+C50)*F7</f>
        <v>368.69208626219512</v>
      </c>
      <c r="D66" s="3">
        <f>B66-C66</f>
        <v>-6.000054350067785E-3</v>
      </c>
      <c r="E66" s="3">
        <f>SIN(RADIANS(J7))*(F7+C19)</f>
        <v>368.69900523959683</v>
      </c>
      <c r="F66" s="3">
        <f>B66-E66</f>
        <v>-1.291903175177822E-2</v>
      </c>
      <c r="G66" s="36">
        <f>SQRT(D66^2+F66^2)</f>
        <v>1.4244368487483788E-2</v>
      </c>
    </row>
    <row r="67" spans="1:15" x14ac:dyDescent="0.2">
      <c r="A67" s="24" t="str">
        <f>"2-3"</f>
        <v>2-3</v>
      </c>
      <c r="B67" s="3">
        <f>SIN(RADIANS(J8))*F8</f>
        <v>-16.141564837542909</v>
      </c>
      <c r="C67" s="3">
        <f>SIN(RADIANS(J8)+C51)*F8</f>
        <v>-16.127050083169244</v>
      </c>
      <c r="D67" s="3">
        <f t="shared" ref="D67:D69" si="20">B67-C67</f>
        <v>-1.4514754373664118E-2</v>
      </c>
      <c r="E67" s="3">
        <f>SIN(RADIANS(J8))*(F8+C20)</f>
        <v>-16.142361917241431</v>
      </c>
      <c r="F67" s="3">
        <f t="shared" ref="F67:F69" si="21">B67-E67</f>
        <v>7.9707969852194083E-4</v>
      </c>
      <c r="G67" s="36">
        <f t="shared" ref="G67:G69" si="22">SQRT(D67^2+F67^2)</f>
        <v>1.453662376804179E-2</v>
      </c>
    </row>
    <row r="68" spans="1:15" x14ac:dyDescent="0.2">
      <c r="A68" s="24" t="str">
        <f>"3-4"</f>
        <v>3-4</v>
      </c>
      <c r="B68" s="3">
        <f>SIN(RADIANS(J9))*F9</f>
        <v>-489.83645857046872</v>
      </c>
      <c r="C68" s="3">
        <f>SIN(RADIANS(J9)+C52)*F9</f>
        <v>-489.84121157895345</v>
      </c>
      <c r="D68" s="3">
        <f t="shared" si="20"/>
        <v>4.7530084847267062E-3</v>
      </c>
      <c r="E68" s="3">
        <f>SIN(RADIANS(J9))*(F9+C21)</f>
        <v>-489.84992113793726</v>
      </c>
      <c r="F68" s="3">
        <f t="shared" si="21"/>
        <v>1.346256746853669E-2</v>
      </c>
      <c r="G68" s="36">
        <f t="shared" si="22"/>
        <v>1.4276967902912245E-2</v>
      </c>
    </row>
    <row r="69" spans="1:15" ht="17" thickBot="1" x14ac:dyDescent="0.25">
      <c r="A69" s="26" t="str">
        <f>"4-1"</f>
        <v>4-1</v>
      </c>
      <c r="B69" s="17">
        <f>SIN(RADIANS(J10))*F10</f>
        <v>137.29626071725184</v>
      </c>
      <c r="C69" s="17">
        <f>SIN(RADIANS(J10)+C53)*F10</f>
        <v>137.28332961391075</v>
      </c>
      <c r="D69" s="17">
        <f t="shared" si="20"/>
        <v>1.2931103341088601E-2</v>
      </c>
      <c r="E69" s="17">
        <f>SIN(RADIANS(J10))*(F10+C22)</f>
        <v>137.30186678289292</v>
      </c>
      <c r="F69" s="17">
        <f t="shared" si="21"/>
        <v>-5.6060656410750198E-3</v>
      </c>
      <c r="G69" s="37">
        <f t="shared" si="22"/>
        <v>1.4094020206809504E-2</v>
      </c>
    </row>
    <row r="70" spans="1:15" ht="17" thickBot="1" x14ac:dyDescent="0.25"/>
    <row r="71" spans="1:15" ht="21" thickBot="1" x14ac:dyDescent="0.3">
      <c r="A71" s="40" t="s">
        <v>43</v>
      </c>
      <c r="B71" s="42"/>
    </row>
    <row r="72" spans="1:15" ht="17" thickTop="1" x14ac:dyDescent="0.2">
      <c r="A72" s="22" t="s">
        <v>42</v>
      </c>
      <c r="B72" s="13" t="s">
        <v>41</v>
      </c>
    </row>
    <row r="73" spans="1:15" x14ac:dyDescent="0.2">
      <c r="A73" s="24" t="str">
        <f>"1-2"</f>
        <v>1-2</v>
      </c>
      <c r="B73" s="36">
        <f>SQRT(G59^2+G66^2)</f>
        <v>2.282821545544577E-2</v>
      </c>
    </row>
    <row r="74" spans="1:15" x14ac:dyDescent="0.2">
      <c r="A74" s="24" t="str">
        <f>"2-3"</f>
        <v>2-3</v>
      </c>
      <c r="B74" s="36">
        <f t="shared" ref="B74:B76" si="23">SQRT(G60^2+G67^2)</f>
        <v>1.9931007216962695E-2</v>
      </c>
    </row>
    <row r="75" spans="1:15" x14ac:dyDescent="0.2">
      <c r="A75" s="24" t="str">
        <f>"3-4"</f>
        <v>3-4</v>
      </c>
      <c r="B75" s="36">
        <f t="shared" si="23"/>
        <v>2.7679263453102298E-2</v>
      </c>
    </row>
    <row r="76" spans="1:15" ht="17" thickBot="1" x14ac:dyDescent="0.25">
      <c r="A76" s="26" t="str">
        <f>"4-1"</f>
        <v>4-1</v>
      </c>
      <c r="B76" s="37">
        <f t="shared" si="23"/>
        <v>1.9685816360778E-2</v>
      </c>
    </row>
    <row r="78" spans="1:15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</sheetData>
  <mergeCells count="16">
    <mergeCell ref="A57:G57"/>
    <mergeCell ref="A64:G64"/>
    <mergeCell ref="A71:B71"/>
    <mergeCell ref="A41:F41"/>
    <mergeCell ref="A48:C48"/>
    <mergeCell ref="E48:G48"/>
    <mergeCell ref="A28:B28"/>
    <mergeCell ref="A30:B30"/>
    <mergeCell ref="A31:B31"/>
    <mergeCell ref="A32:B32"/>
    <mergeCell ref="A34:G34"/>
    <mergeCell ref="A5:L5"/>
    <mergeCell ref="N5:O5"/>
    <mergeCell ref="A17:C17"/>
    <mergeCell ref="A26:B26"/>
    <mergeCell ref="A27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0223-A4E1-7647-8BC7-F3A14793F672}">
  <dimension ref="A1:P78"/>
  <sheetViews>
    <sheetView tabSelected="1" topLeftCell="A11" zoomScale="93" workbookViewId="0">
      <selection activeCell="B76" sqref="B76"/>
    </sheetView>
  </sheetViews>
  <sheetFormatPr baseColWidth="10" defaultRowHeight="16" x14ac:dyDescent="0.2"/>
  <cols>
    <col min="1" max="1" width="18.5" bestFit="1" customWidth="1"/>
    <col min="2" max="2" width="18.83203125" bestFit="1" customWidth="1"/>
    <col min="3" max="3" width="16.5" bestFit="1" customWidth="1"/>
    <col min="4" max="4" width="12.1640625" bestFit="1" customWidth="1"/>
    <col min="5" max="5" width="17.1640625" bestFit="1" customWidth="1"/>
    <col min="6" max="6" width="18.5" customWidth="1"/>
    <col min="7" max="7" width="22.6640625" bestFit="1" customWidth="1"/>
    <col min="8" max="8" width="7.6640625" customWidth="1"/>
    <col min="9" max="9" width="10.33203125" bestFit="1" customWidth="1"/>
    <col min="10" max="10" width="20.6640625" bestFit="1" customWidth="1"/>
    <col min="11" max="11" width="17.5" bestFit="1" customWidth="1"/>
    <col min="12" max="12" width="15.5" bestFit="1" customWidth="1"/>
    <col min="13" max="13" width="7.6640625" bestFit="1" customWidth="1"/>
    <col min="14" max="14" width="37.83203125" bestFit="1" customWidth="1"/>
    <col min="15" max="15" width="15" bestFit="1" customWidth="1"/>
  </cols>
  <sheetData>
    <row r="1" spans="1:16" x14ac:dyDescent="0.2">
      <c r="A1" s="4" t="s">
        <v>0</v>
      </c>
      <c r="B1" s="1" t="s">
        <v>1</v>
      </c>
    </row>
    <row r="3" spans="1:16" x14ac:dyDescent="0.2">
      <c r="A3" s="3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6" ht="17" thickBot="1" x14ac:dyDescent="0.25"/>
    <row r="5" spans="1:16" ht="21" thickBot="1" x14ac:dyDescent="0.3">
      <c r="A5" s="40" t="s">
        <v>40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2"/>
      <c r="N5" s="40" t="s">
        <v>14</v>
      </c>
      <c r="O5" s="42"/>
    </row>
    <row r="6" spans="1:16" ht="17" thickTop="1" x14ac:dyDescent="0.2">
      <c r="A6" s="22" t="s">
        <v>4</v>
      </c>
      <c r="B6" s="8" t="s">
        <v>7</v>
      </c>
      <c r="C6" s="8" t="s">
        <v>2</v>
      </c>
      <c r="D6" s="8" t="s">
        <v>3</v>
      </c>
      <c r="E6" s="8" t="s">
        <v>8</v>
      </c>
      <c r="F6" s="8" t="s">
        <v>5</v>
      </c>
      <c r="G6" s="8" t="s">
        <v>9</v>
      </c>
      <c r="H6" s="8" t="s">
        <v>2</v>
      </c>
      <c r="I6" s="8" t="s">
        <v>3</v>
      </c>
      <c r="J6" s="8" t="s">
        <v>12</v>
      </c>
      <c r="K6" s="8" t="s">
        <v>6</v>
      </c>
      <c r="L6" s="23" t="s">
        <v>11</v>
      </c>
      <c r="N6" s="30" t="s">
        <v>15</v>
      </c>
      <c r="O6" s="31">
        <v>3</v>
      </c>
      <c r="P6" s="6"/>
    </row>
    <row r="7" spans="1:16" x14ac:dyDescent="0.2">
      <c r="A7" s="24">
        <v>1</v>
      </c>
      <c r="B7" s="4">
        <v>119</v>
      </c>
      <c r="C7" s="4">
        <v>19</v>
      </c>
      <c r="D7" s="4">
        <v>36</v>
      </c>
      <c r="E7" s="2">
        <f>B7+(C7/60)+(D7/3600)</f>
        <v>119.32666666666667</v>
      </c>
      <c r="F7" s="4">
        <v>309.62</v>
      </c>
      <c r="G7" s="4">
        <v>95</v>
      </c>
      <c r="H7" s="4">
        <v>5</v>
      </c>
      <c r="I7" s="4">
        <v>2</v>
      </c>
      <c r="J7" s="2">
        <f>G7+(H7/60)+(I7/3600)</f>
        <v>95.083888888888879</v>
      </c>
      <c r="K7" s="2">
        <f>F10</f>
        <v>334.38</v>
      </c>
      <c r="L7" s="25">
        <f>IF(J10+180&gt;360, J10-180,J10+180)</f>
        <v>335.75749999999999</v>
      </c>
      <c r="N7" s="32" t="s">
        <v>29</v>
      </c>
      <c r="O7" s="33">
        <f>2*3937/1200/1000</f>
        <v>6.5616666666666662E-3</v>
      </c>
    </row>
    <row r="8" spans="1:16" x14ac:dyDescent="0.2">
      <c r="A8" s="24">
        <v>2</v>
      </c>
      <c r="B8" s="4">
        <v>90</v>
      </c>
      <c r="C8" s="4">
        <v>45</v>
      </c>
      <c r="D8" s="4">
        <v>40</v>
      </c>
      <c r="E8" s="2">
        <f t="shared" ref="E8:E10" si="0">B8+(C8/60)+(D8/3600)</f>
        <v>90.761111111111106</v>
      </c>
      <c r="F8" s="4">
        <v>433.43</v>
      </c>
      <c r="G8" s="4">
        <v>5</v>
      </c>
      <c r="H8" s="4">
        <v>50</v>
      </c>
      <c r="I8" s="4">
        <v>43</v>
      </c>
      <c r="J8" s="2">
        <f t="shared" ref="J8:J10" si="1">G8+(H8/60)+(I8/3600)</f>
        <v>5.8452777777777776</v>
      </c>
      <c r="K8" s="2">
        <f>F7</f>
        <v>309.62</v>
      </c>
      <c r="L8" s="25">
        <f>IF(J7+180&gt;360, J7-180,J7+180)</f>
        <v>275.08388888888885</v>
      </c>
      <c r="N8" s="32" t="s">
        <v>30</v>
      </c>
      <c r="O8" s="33">
        <v>4</v>
      </c>
    </row>
    <row r="9" spans="1:16" x14ac:dyDescent="0.2">
      <c r="A9" s="24">
        <v>3</v>
      </c>
      <c r="B9" s="4">
        <v>72</v>
      </c>
      <c r="C9" s="4">
        <v>44</v>
      </c>
      <c r="D9" s="4">
        <v>46</v>
      </c>
      <c r="E9" s="2">
        <f t="shared" si="0"/>
        <v>72.746111111111105</v>
      </c>
      <c r="F9" s="4">
        <v>499.71</v>
      </c>
      <c r="G9" s="4">
        <v>258</v>
      </c>
      <c r="H9" s="4">
        <v>35</v>
      </c>
      <c r="I9" s="4">
        <v>29</v>
      </c>
      <c r="J9" s="2">
        <f t="shared" si="1"/>
        <v>258.59138888888884</v>
      </c>
      <c r="K9" s="2">
        <f t="shared" ref="K9:K10" si="2">F8</f>
        <v>433.43</v>
      </c>
      <c r="L9" s="25">
        <f t="shared" ref="L9:L10" si="3">IF(J8+180&gt;360, J8-180,J8+180)</f>
        <v>185.84527777777777</v>
      </c>
      <c r="N9" s="32" t="s">
        <v>16</v>
      </c>
      <c r="O9" s="33">
        <v>6.6E-3</v>
      </c>
    </row>
    <row r="10" spans="1:16" ht="17" thickBot="1" x14ac:dyDescent="0.25">
      <c r="A10" s="26">
        <v>4</v>
      </c>
      <c r="B10" s="27">
        <v>77</v>
      </c>
      <c r="C10" s="27">
        <v>9</v>
      </c>
      <c r="D10" s="27">
        <v>58</v>
      </c>
      <c r="E10" s="28">
        <f t="shared" si="0"/>
        <v>77.166111111111121</v>
      </c>
      <c r="F10" s="27">
        <v>334.38</v>
      </c>
      <c r="G10" s="27">
        <v>155</v>
      </c>
      <c r="H10" s="27">
        <v>45</v>
      </c>
      <c r="I10" s="27">
        <v>27</v>
      </c>
      <c r="J10" s="28">
        <f t="shared" si="1"/>
        <v>155.75749999999999</v>
      </c>
      <c r="K10" s="28">
        <f t="shared" si="2"/>
        <v>499.71</v>
      </c>
      <c r="L10" s="29">
        <f t="shared" si="3"/>
        <v>78.591388888888844</v>
      </c>
      <c r="N10" s="32" t="s">
        <v>17</v>
      </c>
      <c r="O10" s="33">
        <v>9.9000000000000008E-3</v>
      </c>
    </row>
    <row r="11" spans="1:16" x14ac:dyDescent="0.2">
      <c r="D11" s="20" t="s">
        <v>47</v>
      </c>
      <c r="E11" s="20">
        <f>SUM(E7:E10)</f>
        <v>360</v>
      </c>
      <c r="F11" s="19" t="s">
        <v>44</v>
      </c>
      <c r="I11" s="20" t="s">
        <v>47</v>
      </c>
      <c r="J11" s="20">
        <f>SUM(J7:J10)</f>
        <v>515.27805555555551</v>
      </c>
      <c r="K11" s="21" t="s">
        <v>48</v>
      </c>
      <c r="L11" s="19">
        <f>SUM(L7:L10)</f>
        <v>875.27805555555528</v>
      </c>
      <c r="N11" s="32" t="s">
        <v>18</v>
      </c>
      <c r="O11" s="33">
        <v>6</v>
      </c>
    </row>
    <row r="12" spans="1:16" x14ac:dyDescent="0.2">
      <c r="N12" s="32" t="s">
        <v>19</v>
      </c>
      <c r="O12" s="33">
        <v>4</v>
      </c>
    </row>
    <row r="13" spans="1:16" ht="17" thickBot="1" x14ac:dyDescent="0.25">
      <c r="N13" s="34" t="s">
        <v>20</v>
      </c>
      <c r="O13" s="35">
        <v>4</v>
      </c>
    </row>
    <row r="15" spans="1:16" x14ac:dyDescent="0.2">
      <c r="A15" s="3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  <c r="O15" s="11"/>
    </row>
    <row r="16" spans="1:16" ht="17" thickBot="1" x14ac:dyDescent="0.25"/>
    <row r="17" spans="1:15" ht="21" thickBot="1" x14ac:dyDescent="0.3">
      <c r="A17" s="40" t="s">
        <v>28</v>
      </c>
      <c r="B17" s="41"/>
      <c r="C17" s="42"/>
    </row>
    <row r="18" spans="1:15" ht="17" thickTop="1" x14ac:dyDescent="0.2">
      <c r="A18" s="22" t="s">
        <v>4</v>
      </c>
      <c r="B18" s="7" t="s">
        <v>5</v>
      </c>
      <c r="C18" s="13" t="s">
        <v>31</v>
      </c>
    </row>
    <row r="19" spans="1:15" x14ac:dyDescent="0.2">
      <c r="A19" s="32">
        <v>1</v>
      </c>
      <c r="B19" s="3">
        <f>F7</f>
        <v>309.62</v>
      </c>
      <c r="C19" s="15">
        <f>SQRT($O$9^2+$O$10^2+$O$7^2+($O$8/1000000*B19)^2)</f>
        <v>1.3644020747376648E-2</v>
      </c>
    </row>
    <row r="20" spans="1:15" x14ac:dyDescent="0.2">
      <c r="A20" s="32">
        <v>2</v>
      </c>
      <c r="B20" s="3">
        <f>F8</f>
        <v>433.43</v>
      </c>
      <c r="C20" s="15">
        <f t="shared" ref="C20:C22" si="4">SQRT($O$9^2+$O$10^2+$O$7^2+($O$8/1000000*B20)^2)</f>
        <v>1.3697855835233646E-2</v>
      </c>
    </row>
    <row r="21" spans="1:15" x14ac:dyDescent="0.2">
      <c r="A21" s="32">
        <v>3</v>
      </c>
      <c r="B21" s="3">
        <f>F9</f>
        <v>499.71</v>
      </c>
      <c r="C21" s="15">
        <f t="shared" si="4"/>
        <v>1.3733929910628074E-2</v>
      </c>
    </row>
    <row r="22" spans="1:15" ht="17" thickBot="1" x14ac:dyDescent="0.25">
      <c r="A22" s="34">
        <v>4</v>
      </c>
      <c r="B22" s="17">
        <f>F10</f>
        <v>334.38</v>
      </c>
      <c r="C22" s="18">
        <f t="shared" si="4"/>
        <v>1.3653366954522406E-2</v>
      </c>
    </row>
    <row r="24" spans="1:15" x14ac:dyDescent="0.2">
      <c r="A24" s="3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17" thickBot="1" x14ac:dyDescent="0.25"/>
    <row r="26" spans="1:15" ht="21" thickBot="1" x14ac:dyDescent="0.3">
      <c r="A26" s="43" t="s">
        <v>26</v>
      </c>
      <c r="B26" s="44"/>
    </row>
    <row r="27" spans="1:15" ht="17" thickTop="1" x14ac:dyDescent="0.2">
      <c r="A27" s="45" t="s">
        <v>22</v>
      </c>
      <c r="B27" s="46"/>
    </row>
    <row r="28" spans="1:15" ht="17" thickBot="1" x14ac:dyDescent="0.25">
      <c r="A28" s="47">
        <f>O11/SQRT(O13)</f>
        <v>3</v>
      </c>
      <c r="B28" s="48"/>
    </row>
    <row r="29" spans="1:15" ht="17" thickBot="1" x14ac:dyDescent="0.25"/>
    <row r="30" spans="1:15" ht="21" thickBot="1" x14ac:dyDescent="0.3">
      <c r="A30" s="43" t="s">
        <v>27</v>
      </c>
      <c r="B30" s="44"/>
    </row>
    <row r="31" spans="1:15" ht="17" thickTop="1" x14ac:dyDescent="0.2">
      <c r="A31" s="49" t="s">
        <v>22</v>
      </c>
      <c r="B31" s="50"/>
    </row>
    <row r="32" spans="1:15" ht="17" thickBot="1" x14ac:dyDescent="0.25">
      <c r="A32" s="51">
        <f>O12/SQRT(O13)</f>
        <v>2</v>
      </c>
      <c r="B32" s="52"/>
    </row>
    <row r="33" spans="1:7" ht="17" thickBot="1" x14ac:dyDescent="0.25"/>
    <row r="34" spans="1:7" ht="21" thickBot="1" x14ac:dyDescent="0.3">
      <c r="A34" s="43" t="s">
        <v>24</v>
      </c>
      <c r="B34" s="53"/>
      <c r="C34" s="53"/>
      <c r="D34" s="53"/>
      <c r="E34" s="53"/>
      <c r="F34" s="53"/>
      <c r="G34" s="44"/>
    </row>
    <row r="35" spans="1:7" ht="17" thickTop="1" x14ac:dyDescent="0.2">
      <c r="A35" s="12" t="s">
        <v>4</v>
      </c>
      <c r="B35" s="7" t="s">
        <v>6</v>
      </c>
      <c r="C35" s="7" t="s">
        <v>5</v>
      </c>
      <c r="D35" s="7" t="s">
        <v>23</v>
      </c>
      <c r="E35" s="7" t="s">
        <v>21</v>
      </c>
      <c r="F35" s="7" t="s">
        <v>10</v>
      </c>
      <c r="G35" s="13" t="s">
        <v>22</v>
      </c>
    </row>
    <row r="36" spans="1:7" x14ac:dyDescent="0.2">
      <c r="A36" s="14">
        <v>1</v>
      </c>
      <c r="B36" s="3">
        <f>K7</f>
        <v>334.38</v>
      </c>
      <c r="C36" s="3">
        <f>F7</f>
        <v>309.62</v>
      </c>
      <c r="D36" s="3">
        <f>SQRT(B36^2+C36^2-(2*B36*C36*COS(RADIANS(E7))))</f>
        <v>555.95936025982303</v>
      </c>
      <c r="E36" s="3">
        <f>(D36/(B36*C36))*(($O$9)/SQRT(2))</f>
        <v>2.5061247439310641E-5</v>
      </c>
      <c r="F36" s="3">
        <f>DEGREES(E36)</f>
        <v>1.4359037076055415E-3</v>
      </c>
      <c r="G36" s="15">
        <f>F36*3600</f>
        <v>5.1692533473799491</v>
      </c>
    </row>
    <row r="37" spans="1:7" x14ac:dyDescent="0.2">
      <c r="A37" s="14">
        <v>2</v>
      </c>
      <c r="B37" s="3">
        <f t="shared" ref="B37:B39" si="5">K8</f>
        <v>309.62</v>
      </c>
      <c r="C37" s="3">
        <f t="shared" ref="C37:C39" si="6">F8</f>
        <v>433.43</v>
      </c>
      <c r="D37" s="3">
        <f>SQRT(B37^2+C37^2-(2*B37*C37*COS(RADIANS(E8))))</f>
        <v>535.99567585794034</v>
      </c>
      <c r="E37" s="3">
        <f t="shared" ref="E37:E39" si="7">(D37/(B37*C37))*(($O$9)/SQRT(2))</f>
        <v>1.8639842980044902E-5</v>
      </c>
      <c r="F37" s="3">
        <f t="shared" ref="F37:F39" si="8">DEGREES(E37)</f>
        <v>1.0679843335431279E-3</v>
      </c>
      <c r="G37" s="15">
        <f t="shared" ref="G37:G39" si="9">F37*3600</f>
        <v>3.8447436007552604</v>
      </c>
    </row>
    <row r="38" spans="1:7" x14ac:dyDescent="0.2">
      <c r="A38" s="14">
        <v>3</v>
      </c>
      <c r="B38" s="3">
        <f t="shared" si="5"/>
        <v>433.43</v>
      </c>
      <c r="C38" s="3">
        <f t="shared" si="6"/>
        <v>499.71</v>
      </c>
      <c r="D38" s="3">
        <f>SQRT(B38^2+C38^2-(2*B38*C38*COS(RADIANS(E9))))</f>
        <v>555.95692532505188</v>
      </c>
      <c r="E38" s="3">
        <f t="shared" si="7"/>
        <v>1.1979345033878657E-5</v>
      </c>
      <c r="F38" s="3">
        <f t="shared" si="8"/>
        <v>6.8636591177224926E-4</v>
      </c>
      <c r="G38" s="15">
        <f t="shared" si="9"/>
        <v>2.4709172823800971</v>
      </c>
    </row>
    <row r="39" spans="1:7" ht="17" thickBot="1" x14ac:dyDescent="0.25">
      <c r="A39" s="16">
        <v>4</v>
      </c>
      <c r="B39" s="17">
        <f t="shared" si="5"/>
        <v>499.71</v>
      </c>
      <c r="C39" s="17">
        <f t="shared" si="6"/>
        <v>334.38</v>
      </c>
      <c r="D39" s="17">
        <f>SQRT(B39^2+C39^2-(2*B39*C39*COS(RADIANS(E10))))</f>
        <v>535.99338814100565</v>
      </c>
      <c r="E39" s="17">
        <f t="shared" si="7"/>
        <v>1.4970283890377724E-5</v>
      </c>
      <c r="F39" s="17">
        <f t="shared" si="8"/>
        <v>8.5773408503133036E-4</v>
      </c>
      <c r="G39" s="18">
        <f t="shared" si="9"/>
        <v>3.0878427061127893</v>
      </c>
    </row>
    <row r="40" spans="1:7" ht="17" thickBot="1" x14ac:dyDescent="0.25"/>
    <row r="41" spans="1:7" ht="21" thickBot="1" x14ac:dyDescent="0.3">
      <c r="A41" s="40" t="s">
        <v>25</v>
      </c>
      <c r="B41" s="41"/>
      <c r="C41" s="41"/>
      <c r="D41" s="41"/>
      <c r="E41" s="41"/>
      <c r="F41" s="42"/>
      <c r="G41" s="5"/>
    </row>
    <row r="42" spans="1:7" ht="17" thickTop="1" x14ac:dyDescent="0.2">
      <c r="A42" s="12" t="s">
        <v>4</v>
      </c>
      <c r="B42" s="7" t="s">
        <v>6</v>
      </c>
      <c r="C42" s="7" t="s">
        <v>5</v>
      </c>
      <c r="D42" s="7" t="s">
        <v>21</v>
      </c>
      <c r="E42" s="7" t="s">
        <v>10</v>
      </c>
      <c r="F42" s="13" t="s">
        <v>22</v>
      </c>
    </row>
    <row r="43" spans="1:7" x14ac:dyDescent="0.2">
      <c r="A43" s="14">
        <v>1</v>
      </c>
      <c r="B43" s="3">
        <f>K7</f>
        <v>334.38</v>
      </c>
      <c r="C43" s="3">
        <f>F7</f>
        <v>309.62</v>
      </c>
      <c r="D43" s="3">
        <f>(SQRT(B43^2+C43^2)/(B43*C43))*($O$10)</f>
        <v>4.3577018383321686E-5</v>
      </c>
      <c r="E43" s="3">
        <f>DEGREES(D43)</f>
        <v>2.4967792371283345E-3</v>
      </c>
      <c r="F43" s="15">
        <f>E43*3600</f>
        <v>8.9884052536620036</v>
      </c>
    </row>
    <row r="44" spans="1:7" x14ac:dyDescent="0.2">
      <c r="A44" s="14">
        <v>2</v>
      </c>
      <c r="B44" s="3">
        <f t="shared" ref="B44:B46" si="10">K8</f>
        <v>309.62</v>
      </c>
      <c r="C44" s="3">
        <f t="shared" ref="C44:C46" si="11">F8</f>
        <v>433.43</v>
      </c>
      <c r="D44" s="3">
        <f t="shared" ref="D44:D46" si="12">(SQRT(B44^2+C44^2)/(B44*C44))*($O$10)</f>
        <v>3.9294961877279778E-5</v>
      </c>
      <c r="E44" s="3">
        <f t="shared" ref="E44:E46" si="13">DEGREES(D44)</f>
        <v>2.2514354716955975E-3</v>
      </c>
      <c r="F44" s="15">
        <f t="shared" ref="F44:F46" si="14">E44*3600</f>
        <v>8.1051676981041503</v>
      </c>
    </row>
    <row r="45" spans="1:7" x14ac:dyDescent="0.2">
      <c r="A45" s="14">
        <v>3</v>
      </c>
      <c r="B45" s="3">
        <f t="shared" si="10"/>
        <v>433.43</v>
      </c>
      <c r="C45" s="3">
        <f t="shared" si="11"/>
        <v>499.71</v>
      </c>
      <c r="D45" s="3">
        <f t="shared" si="12"/>
        <v>3.0235891210038701E-5</v>
      </c>
      <c r="E45" s="3">
        <f t="shared" si="13"/>
        <v>1.7323889561519212E-3</v>
      </c>
      <c r="F45" s="15">
        <f t="shared" si="14"/>
        <v>6.236600242146916</v>
      </c>
    </row>
    <row r="46" spans="1:7" ht="17" thickBot="1" x14ac:dyDescent="0.25">
      <c r="A46" s="16">
        <v>4</v>
      </c>
      <c r="B46" s="17">
        <f t="shared" si="10"/>
        <v>499.71</v>
      </c>
      <c r="C46" s="17">
        <f t="shared" si="11"/>
        <v>334.38</v>
      </c>
      <c r="D46" s="17">
        <f t="shared" si="12"/>
        <v>3.5624031488712526E-5</v>
      </c>
      <c r="E46" s="17">
        <f t="shared" si="13"/>
        <v>2.0411066535443749E-3</v>
      </c>
      <c r="F46" s="18">
        <f t="shared" si="14"/>
        <v>7.3479839527597495</v>
      </c>
    </row>
    <row r="47" spans="1:7" ht="17" thickBot="1" x14ac:dyDescent="0.25"/>
    <row r="48" spans="1:7" ht="21" thickBot="1" x14ac:dyDescent="0.3">
      <c r="A48" s="40" t="s">
        <v>37</v>
      </c>
      <c r="B48" s="41"/>
      <c r="C48" s="42"/>
      <c r="E48" s="54"/>
      <c r="F48" s="54"/>
      <c r="G48" s="54"/>
    </row>
    <row r="49" spans="1:15" ht="17" thickTop="1" x14ac:dyDescent="0.2">
      <c r="A49" s="22" t="s">
        <v>4</v>
      </c>
      <c r="B49" s="7" t="s">
        <v>22</v>
      </c>
      <c r="C49" s="13" t="s">
        <v>38</v>
      </c>
    </row>
    <row r="50" spans="1:15" x14ac:dyDescent="0.2">
      <c r="A50" s="32">
        <v>1</v>
      </c>
      <c r="B50" s="3">
        <f>SQRT(G36^2+F43^2+$A$28^2+$A$32^2)</f>
        <v>10.977823517139338</v>
      </c>
      <c r="C50" s="15">
        <f>RADIANS(B50/3600)</f>
        <v>5.3221990299151558E-5</v>
      </c>
    </row>
    <row r="51" spans="1:15" x14ac:dyDescent="0.2">
      <c r="A51" s="32">
        <v>2</v>
      </c>
      <c r="B51" s="3">
        <f t="shared" ref="B51:B53" si="15">SQRT(G37^2+F44^2+$A$28^2+$A$32^2)</f>
        <v>9.6682882026726666</v>
      </c>
      <c r="C51" s="15">
        <f t="shared" ref="C51:C53" si="16">RADIANS(B51/3600)</f>
        <v>4.6873183935656348E-5</v>
      </c>
    </row>
    <row r="52" spans="1:15" x14ac:dyDescent="0.2">
      <c r="A52" s="32">
        <v>3</v>
      </c>
      <c r="B52" s="3">
        <f t="shared" si="15"/>
        <v>7.6158134691385149</v>
      </c>
      <c r="C52" s="15">
        <f t="shared" si="16"/>
        <v>3.6922505626166285E-5</v>
      </c>
    </row>
    <row r="53" spans="1:15" ht="17" thickBot="1" x14ac:dyDescent="0.25">
      <c r="A53" s="34">
        <v>4</v>
      </c>
      <c r="B53" s="17">
        <f t="shared" si="15"/>
        <v>8.748007815937795</v>
      </c>
      <c r="C53" s="18">
        <f t="shared" si="16"/>
        <v>4.2411538716197944E-5</v>
      </c>
    </row>
    <row r="55" spans="1:15" x14ac:dyDescent="0.2">
      <c r="A55" s="39"/>
      <c r="B55" s="9"/>
      <c r="C55" s="9"/>
      <c r="D55" s="9"/>
      <c r="E55" s="10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ht="17" thickBot="1" x14ac:dyDescent="0.25"/>
    <row r="57" spans="1:15" ht="21" thickBot="1" x14ac:dyDescent="0.3">
      <c r="A57" s="43" t="s">
        <v>32</v>
      </c>
      <c r="B57" s="53"/>
      <c r="C57" s="53"/>
      <c r="D57" s="53"/>
      <c r="E57" s="53"/>
      <c r="F57" s="53"/>
      <c r="G57" s="44"/>
    </row>
    <row r="58" spans="1:15" ht="17" thickTop="1" x14ac:dyDescent="0.2">
      <c r="A58" s="22" t="s">
        <v>42</v>
      </c>
      <c r="B58" s="7" t="s">
        <v>33</v>
      </c>
      <c r="C58" s="7" t="s">
        <v>34</v>
      </c>
      <c r="D58" s="7" t="s">
        <v>35</v>
      </c>
      <c r="E58" s="7" t="s">
        <v>36</v>
      </c>
      <c r="F58" s="7" t="s">
        <v>35</v>
      </c>
      <c r="G58" s="13" t="s">
        <v>45</v>
      </c>
    </row>
    <row r="59" spans="1:15" x14ac:dyDescent="0.2">
      <c r="A59" s="24" t="str">
        <f>"1-2"</f>
        <v>1-2</v>
      </c>
      <c r="B59" s="3">
        <f>COS(RADIANS(J7))*F7</f>
        <v>-27.436733137201944</v>
      </c>
      <c r="C59" s="3">
        <f>COS(RADIANS(J7)+C50)*F7</f>
        <v>-27.453146864557787</v>
      </c>
      <c r="D59" s="3">
        <f>B59-C59</f>
        <v>1.6413727355843122E-2</v>
      </c>
      <c r="E59" s="3">
        <f>COS(RADIANS(J7))*(F7+C19)</f>
        <v>-27.437942191385023</v>
      </c>
      <c r="F59" s="3">
        <f>B59-E59</f>
        <v>1.209054183078706E-3</v>
      </c>
      <c r="G59" s="36">
        <f>SQRT(D59^2+F59^2)</f>
        <v>1.6458197280673631E-2</v>
      </c>
    </row>
    <row r="60" spans="1:15" x14ac:dyDescent="0.2">
      <c r="A60" s="24" t="str">
        <f>"2-3"</f>
        <v>2-3</v>
      </c>
      <c r="B60" s="3">
        <f>COS(RADIANS(J8))*F8</f>
        <v>431.17639754336108</v>
      </c>
      <c r="C60" s="3">
        <f>COS(RADIANS(J8)+C51)*F8</f>
        <v>431.17432801328664</v>
      </c>
      <c r="D60" s="3">
        <f t="shared" ref="D60:D62" si="17">B60-C60</f>
        <v>2.0695300744364431E-3</v>
      </c>
      <c r="E60" s="3">
        <f>COS(RADIANS(J8))*(F8+C20)</f>
        <v>431.19002417772674</v>
      </c>
      <c r="F60" s="3">
        <f t="shared" ref="F60:F62" si="18">B60-E60</f>
        <v>-1.3626634365664358E-2</v>
      </c>
      <c r="G60" s="36">
        <f t="shared" ref="G60:G62" si="19">SQRT(D60^2+F60^2)</f>
        <v>1.3782892253242852E-2</v>
      </c>
    </row>
    <row r="61" spans="1:15" x14ac:dyDescent="0.2">
      <c r="A61" s="24" t="str">
        <f>"3-4"</f>
        <v>3-4</v>
      </c>
      <c r="B61" s="3">
        <f>COS(RADIANS(J9))*F9</f>
        <v>-98.844969296072151</v>
      </c>
      <c r="C61" s="3">
        <f>COS(RADIANS(J9)+C52)*F9</f>
        <v>-98.826883239302489</v>
      </c>
      <c r="D61" s="3">
        <f t="shared" si="17"/>
        <v>-1.8086056769661241E-2</v>
      </c>
      <c r="E61" s="3">
        <f>COS(RADIANS(J9))*(F9+C21)</f>
        <v>-98.847685931481351</v>
      </c>
      <c r="F61" s="3">
        <f t="shared" si="18"/>
        <v>2.7166354092003075E-3</v>
      </c>
      <c r="G61" s="36">
        <f t="shared" si="19"/>
        <v>1.8288946317979341E-2</v>
      </c>
    </row>
    <row r="62" spans="1:15" ht="17" thickBot="1" x14ac:dyDescent="0.25">
      <c r="A62" s="26" t="str">
        <f>"4-1"</f>
        <v>4-1</v>
      </c>
      <c r="B62" s="17">
        <f>COS(RADIANS(J10))*F10</f>
        <v>-304.89296678188623</v>
      </c>
      <c r="C62" s="17">
        <f>COS(RADIANS(J10)+C53)*F10</f>
        <v>-304.8987894533501</v>
      </c>
      <c r="D62" s="17">
        <f t="shared" si="17"/>
        <v>5.8226714638749399E-3</v>
      </c>
      <c r="E62" s="17">
        <f>COS(RADIANS(J10))*(F10+C22)</f>
        <v>-304.90541613758137</v>
      </c>
      <c r="F62" s="17">
        <f t="shared" si="18"/>
        <v>1.2449355695139275E-2</v>
      </c>
      <c r="G62" s="37">
        <f t="shared" si="19"/>
        <v>1.3743724393348413E-2</v>
      </c>
    </row>
    <row r="63" spans="1:15" ht="17" thickBot="1" x14ac:dyDescent="0.25"/>
    <row r="64" spans="1:15" ht="21" thickBot="1" x14ac:dyDescent="0.3">
      <c r="A64" s="43" t="s">
        <v>39</v>
      </c>
      <c r="B64" s="53"/>
      <c r="C64" s="53"/>
      <c r="D64" s="53"/>
      <c r="E64" s="53"/>
      <c r="F64" s="53"/>
      <c r="G64" s="44"/>
    </row>
    <row r="65" spans="1:15" ht="17" thickTop="1" x14ac:dyDescent="0.2">
      <c r="A65" s="22" t="s">
        <v>42</v>
      </c>
      <c r="B65" s="7" t="s">
        <v>33</v>
      </c>
      <c r="C65" s="7" t="s">
        <v>34</v>
      </c>
      <c r="D65" s="7" t="s">
        <v>35</v>
      </c>
      <c r="E65" s="7" t="s">
        <v>36</v>
      </c>
      <c r="F65" s="7" t="s">
        <v>35</v>
      </c>
      <c r="G65" s="13" t="s">
        <v>46</v>
      </c>
    </row>
    <row r="66" spans="1:15" x14ac:dyDescent="0.2">
      <c r="A66" s="24" t="str">
        <f>"1-2"</f>
        <v>1-2</v>
      </c>
      <c r="B66" s="3">
        <f>SIN(RADIANS(J7))*F7</f>
        <v>308.40196185296548</v>
      </c>
      <c r="C66" s="3">
        <f>SIN(RADIANS(J7)+C50)*F7</f>
        <v>308.40050117863461</v>
      </c>
      <c r="D66" s="3">
        <f>B66-C66</f>
        <v>1.4606743308718251E-3</v>
      </c>
      <c r="E66" s="3">
        <f>SIN(RADIANS(J7))*(F7+C19)</f>
        <v>308.41555219844076</v>
      </c>
      <c r="F66" s="3">
        <f>B66-E66</f>
        <v>-1.3590345475279264E-2</v>
      </c>
      <c r="G66" s="36">
        <f>SQRT(D66^2+F66^2)</f>
        <v>1.3668615864026299E-2</v>
      </c>
    </row>
    <row r="67" spans="1:15" x14ac:dyDescent="0.2">
      <c r="A67" s="24" t="str">
        <f>"2-3"</f>
        <v>2-3</v>
      </c>
      <c r="B67" s="3">
        <f>SIN(RADIANS(J8))*F8</f>
        <v>44.141580188405705</v>
      </c>
      <c r="C67" s="3">
        <f>SIN(RADIANS(J8)+C51)*F8</f>
        <v>44.161790750497438</v>
      </c>
      <c r="D67" s="3">
        <f t="shared" ref="D67:D69" si="20">B67-C67</f>
        <v>-2.0210562091733664E-2</v>
      </c>
      <c r="E67" s="3">
        <f>SIN(RADIANS(J8))*(F8+C20)</f>
        <v>44.142975211827618</v>
      </c>
      <c r="F67" s="3">
        <f t="shared" ref="F67:F69" si="21">B67-E67</f>
        <v>-1.3950234219137769E-3</v>
      </c>
      <c r="G67" s="36">
        <f t="shared" ref="G67:G69" si="22">SQRT(D67^2+F67^2)</f>
        <v>2.0258650261345396E-2</v>
      </c>
    </row>
    <row r="68" spans="1:15" x14ac:dyDescent="0.2">
      <c r="A68" s="24" t="str">
        <f>"3-4"</f>
        <v>3-4</v>
      </c>
      <c r="B68" s="3">
        <f>SIN(RADIANS(J9))*F9</f>
        <v>-489.83645857046872</v>
      </c>
      <c r="C68" s="3">
        <f>SIN(RADIANS(J9)+C52)*F9</f>
        <v>-489.84010784051287</v>
      </c>
      <c r="D68" s="3">
        <f t="shared" si="20"/>
        <v>3.6492700441499437E-3</v>
      </c>
      <c r="E68" s="3">
        <f>SIN(RADIANS(J9))*(F9+C21)</f>
        <v>-489.84992113793726</v>
      </c>
      <c r="F68" s="3">
        <f t="shared" si="21"/>
        <v>1.346256746853669E-2</v>
      </c>
      <c r="G68" s="36">
        <f t="shared" si="22"/>
        <v>1.3948401152104585E-2</v>
      </c>
    </row>
    <row r="69" spans="1:15" ht="17" thickBot="1" x14ac:dyDescent="0.25">
      <c r="A69" s="26" t="str">
        <f>"4-1"</f>
        <v>4-1</v>
      </c>
      <c r="B69" s="17">
        <f>SIN(RADIANS(J10))*F10</f>
        <v>137.29626071725184</v>
      </c>
      <c r="C69" s="17">
        <f>SIN(RADIANS(J10)+C53)*F10</f>
        <v>137.28332961391075</v>
      </c>
      <c r="D69" s="17">
        <f t="shared" si="20"/>
        <v>1.2931103341088601E-2</v>
      </c>
      <c r="E69" s="17">
        <f>SIN(RADIANS(J10))*(F10+C22)</f>
        <v>137.30186678289292</v>
      </c>
      <c r="F69" s="17">
        <f t="shared" si="21"/>
        <v>-5.6060656410750198E-3</v>
      </c>
      <c r="G69" s="37">
        <f t="shared" si="22"/>
        <v>1.4094020206809504E-2</v>
      </c>
    </row>
    <row r="70" spans="1:15" ht="17" thickBot="1" x14ac:dyDescent="0.25"/>
    <row r="71" spans="1:15" ht="21" thickBot="1" x14ac:dyDescent="0.3">
      <c r="A71" s="40" t="s">
        <v>43</v>
      </c>
      <c r="B71" s="42"/>
    </row>
    <row r="72" spans="1:15" ht="17" thickTop="1" x14ac:dyDescent="0.2">
      <c r="A72" s="22" t="s">
        <v>42</v>
      </c>
      <c r="B72" s="13" t="s">
        <v>41</v>
      </c>
    </row>
    <row r="73" spans="1:15" x14ac:dyDescent="0.2">
      <c r="A73" s="24" t="str">
        <f>"1-2"</f>
        <v>1-2</v>
      </c>
      <c r="B73" s="36">
        <f>SQRT(G59^2+G66^2)</f>
        <v>2.1394001901651881E-2</v>
      </c>
    </row>
    <row r="74" spans="1:15" x14ac:dyDescent="0.2">
      <c r="A74" s="24" t="str">
        <f>"2-3"</f>
        <v>2-3</v>
      </c>
      <c r="B74" s="36">
        <f t="shared" ref="B74:B76" si="23">SQRT(G60^2+G67^2)</f>
        <v>2.4502673920942009E-2</v>
      </c>
    </row>
    <row r="75" spans="1:15" x14ac:dyDescent="0.2">
      <c r="A75" s="24" t="str">
        <f>"3-4"</f>
        <v>3-4</v>
      </c>
      <c r="B75" s="36">
        <f t="shared" si="23"/>
        <v>2.3000944591950189E-2</v>
      </c>
    </row>
    <row r="76" spans="1:15" ht="17" thickBot="1" x14ac:dyDescent="0.25">
      <c r="A76" s="26" t="str">
        <f>"4-1"</f>
        <v>4-1</v>
      </c>
      <c r="B76" s="37">
        <f t="shared" si="23"/>
        <v>1.9685816360778E-2</v>
      </c>
    </row>
    <row r="78" spans="1:15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</sheetData>
  <mergeCells count="16">
    <mergeCell ref="A57:G57"/>
    <mergeCell ref="A64:G64"/>
    <mergeCell ref="A71:B71"/>
    <mergeCell ref="A41:F41"/>
    <mergeCell ref="A48:C48"/>
    <mergeCell ref="E48:G48"/>
    <mergeCell ref="A28:B28"/>
    <mergeCell ref="A30:B30"/>
    <mergeCell ref="A31:B31"/>
    <mergeCell ref="A32:B32"/>
    <mergeCell ref="A34:G34"/>
    <mergeCell ref="A5:L5"/>
    <mergeCell ref="N5:O5"/>
    <mergeCell ref="A17:C17"/>
    <mergeCell ref="A26:B26"/>
    <mergeCell ref="A27:B27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7493-D9B1-2049-8C22-791ACEB72393}">
  <dimension ref="A1:P78"/>
  <sheetViews>
    <sheetView topLeftCell="A20" workbookViewId="0">
      <selection activeCell="J29" sqref="J29"/>
    </sheetView>
  </sheetViews>
  <sheetFormatPr baseColWidth="10" defaultRowHeight="16" x14ac:dyDescent="0.2"/>
  <cols>
    <col min="1" max="1" width="18.5" bestFit="1" customWidth="1"/>
    <col min="2" max="2" width="18.83203125" bestFit="1" customWidth="1"/>
    <col min="3" max="3" width="16.5" bestFit="1" customWidth="1"/>
    <col min="4" max="4" width="12.1640625" bestFit="1" customWidth="1"/>
    <col min="5" max="5" width="17.1640625" bestFit="1" customWidth="1"/>
    <col min="6" max="6" width="18.5" customWidth="1"/>
    <col min="7" max="7" width="22.6640625" bestFit="1" customWidth="1"/>
    <col min="8" max="8" width="7.6640625" customWidth="1"/>
    <col min="9" max="9" width="10.33203125" bestFit="1" customWidth="1"/>
    <col min="10" max="10" width="20.6640625" bestFit="1" customWidth="1"/>
    <col min="11" max="11" width="17.5" bestFit="1" customWidth="1"/>
    <col min="12" max="12" width="15.5" bestFit="1" customWidth="1"/>
    <col min="13" max="13" width="7.6640625" bestFit="1" customWidth="1"/>
    <col min="14" max="14" width="37.83203125" bestFit="1" customWidth="1"/>
    <col min="15" max="15" width="15" bestFit="1" customWidth="1"/>
  </cols>
  <sheetData>
    <row r="1" spans="1:16" x14ac:dyDescent="0.2">
      <c r="A1" s="4" t="s">
        <v>0</v>
      </c>
      <c r="B1" s="1" t="s">
        <v>1</v>
      </c>
    </row>
    <row r="3" spans="1:16" x14ac:dyDescent="0.2">
      <c r="A3" s="3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6" ht="17" thickBot="1" x14ac:dyDescent="0.25"/>
    <row r="5" spans="1:16" ht="21" thickBot="1" x14ac:dyDescent="0.3">
      <c r="A5" s="40" t="s">
        <v>40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2"/>
      <c r="N5" s="40" t="s">
        <v>14</v>
      </c>
      <c r="O5" s="42"/>
    </row>
    <row r="6" spans="1:16" ht="17" thickTop="1" x14ac:dyDescent="0.2">
      <c r="A6" s="22" t="s">
        <v>4</v>
      </c>
      <c r="B6" s="8" t="s">
        <v>7</v>
      </c>
      <c r="C6" s="8" t="s">
        <v>2</v>
      </c>
      <c r="D6" s="8" t="s">
        <v>3</v>
      </c>
      <c r="E6" s="8" t="s">
        <v>8</v>
      </c>
      <c r="F6" s="8" t="s">
        <v>5</v>
      </c>
      <c r="G6" s="8" t="s">
        <v>9</v>
      </c>
      <c r="H6" s="8" t="s">
        <v>2</v>
      </c>
      <c r="I6" s="8" t="s">
        <v>3</v>
      </c>
      <c r="J6" s="8" t="s">
        <v>12</v>
      </c>
      <c r="K6" s="8" t="s">
        <v>6</v>
      </c>
      <c r="L6" s="23" t="s">
        <v>11</v>
      </c>
      <c r="N6" s="30" t="s">
        <v>15</v>
      </c>
      <c r="O6" s="31">
        <v>3</v>
      </c>
      <c r="P6" s="6"/>
    </row>
    <row r="7" spans="1:16" x14ac:dyDescent="0.2">
      <c r="A7" s="24">
        <v>1</v>
      </c>
      <c r="B7" s="4">
        <v>107</v>
      </c>
      <c r="C7" s="4">
        <v>2</v>
      </c>
      <c r="D7" s="4">
        <v>27</v>
      </c>
      <c r="E7" s="2">
        <f>B7+(C7/60)+(D7/3600)</f>
        <v>107.04083333333332</v>
      </c>
      <c r="F7" s="4">
        <v>258.36</v>
      </c>
      <c r="G7" s="4">
        <v>82</v>
      </c>
      <c r="H7" s="4">
        <v>47</v>
      </c>
      <c r="I7" s="4">
        <v>55</v>
      </c>
      <c r="J7" s="2">
        <f>G7+(H7/60)+(I7/3600)</f>
        <v>82.798611111111114</v>
      </c>
      <c r="K7" s="2">
        <f>F10</f>
        <v>334.38</v>
      </c>
      <c r="L7" s="25">
        <f>IF(J10+180&gt;360, J10-180,J10+180)</f>
        <v>335.75722222222225</v>
      </c>
      <c r="N7" s="32" t="s">
        <v>29</v>
      </c>
      <c r="O7" s="33">
        <f>3937/1200/1000</f>
        <v>3.2808333333333331E-3</v>
      </c>
    </row>
    <row r="8" spans="1:16" x14ac:dyDescent="0.2">
      <c r="A8" s="24">
        <v>2</v>
      </c>
      <c r="B8" s="4">
        <v>93</v>
      </c>
      <c r="C8" s="4">
        <v>53</v>
      </c>
      <c r="D8" s="4">
        <v>19</v>
      </c>
      <c r="E8" s="2">
        <f t="shared" ref="E8:E10" si="0">B8+(C8/60)+(D8/3600)</f>
        <v>93.888611111111118</v>
      </c>
      <c r="F8" s="4">
        <v>332.77</v>
      </c>
      <c r="G8" s="4">
        <v>356</v>
      </c>
      <c r="H8" s="4">
        <v>41</v>
      </c>
      <c r="I8" s="4">
        <v>14</v>
      </c>
      <c r="J8" s="2">
        <f t="shared" ref="J8:J10" si="1">G8+(H8/60)+(I8/3600)</f>
        <v>356.6872222222222</v>
      </c>
      <c r="K8" s="2">
        <f>F7</f>
        <v>258.36</v>
      </c>
      <c r="L8" s="25">
        <f>IF(J7+180&gt;360, J7-180,J7+180)</f>
        <v>262.79861111111109</v>
      </c>
      <c r="N8" s="32" t="s">
        <v>30</v>
      </c>
      <c r="O8" s="33">
        <v>2</v>
      </c>
    </row>
    <row r="9" spans="1:16" x14ac:dyDescent="0.2">
      <c r="A9" s="24">
        <v>3</v>
      </c>
      <c r="B9" s="4">
        <v>84</v>
      </c>
      <c r="C9" s="4">
        <v>15</v>
      </c>
      <c r="D9" s="4">
        <v>2</v>
      </c>
      <c r="E9" s="2">
        <f t="shared" si="0"/>
        <v>84.25055555555555</v>
      </c>
      <c r="F9" s="4">
        <v>379.12</v>
      </c>
      <c r="G9" s="4">
        <v>260</v>
      </c>
      <c r="H9" s="4">
        <v>56</v>
      </c>
      <c r="I9" s="4">
        <v>16</v>
      </c>
      <c r="J9" s="2">
        <f t="shared" si="1"/>
        <v>260.9377777777778</v>
      </c>
      <c r="K9" s="2">
        <f t="shared" ref="K9:K10" si="2">F8</f>
        <v>332.77</v>
      </c>
      <c r="L9" s="25">
        <f t="shared" ref="L9:L10" si="3">IF(J8+180&gt;360, J8-180,J8+180)</f>
        <v>176.6872222222222</v>
      </c>
      <c r="N9" s="32" t="s">
        <v>16</v>
      </c>
      <c r="O9" s="33">
        <v>3.3E-3</v>
      </c>
    </row>
    <row r="10" spans="1:16" ht="17" thickBot="1" x14ac:dyDescent="0.25">
      <c r="A10" s="26">
        <v>4</v>
      </c>
      <c r="B10" s="27">
        <v>74</v>
      </c>
      <c r="C10" s="27">
        <v>49</v>
      </c>
      <c r="D10" s="27">
        <v>10</v>
      </c>
      <c r="E10" s="28">
        <f t="shared" si="0"/>
        <v>74.819444444444443</v>
      </c>
      <c r="F10" s="27">
        <v>334.38</v>
      </c>
      <c r="G10" s="27">
        <v>155</v>
      </c>
      <c r="H10" s="27">
        <v>45</v>
      </c>
      <c r="I10" s="27">
        <v>26</v>
      </c>
      <c r="J10" s="28">
        <f t="shared" si="1"/>
        <v>155.75722222222223</v>
      </c>
      <c r="K10" s="28">
        <f t="shared" si="2"/>
        <v>379.12</v>
      </c>
      <c r="L10" s="29">
        <f t="shared" si="3"/>
        <v>80.937777777777796</v>
      </c>
      <c r="N10" s="32" t="s">
        <v>17</v>
      </c>
      <c r="O10" s="33">
        <v>3.3E-3</v>
      </c>
    </row>
    <row r="11" spans="1:16" x14ac:dyDescent="0.2">
      <c r="D11" s="20" t="s">
        <v>47</v>
      </c>
      <c r="E11" s="20">
        <f>SUM(E7:E10)</f>
        <v>359.99944444444446</v>
      </c>
      <c r="F11" s="19" t="s">
        <v>44</v>
      </c>
      <c r="I11" s="20" t="s">
        <v>47</v>
      </c>
      <c r="J11" s="20">
        <f>SUM(J7:J10)</f>
        <v>856.18083333333334</v>
      </c>
      <c r="K11" s="21" t="s">
        <v>13</v>
      </c>
      <c r="L11" s="19">
        <f>SUM(L7:L10)</f>
        <v>856.18083333333334</v>
      </c>
      <c r="N11" s="32" t="s">
        <v>18</v>
      </c>
      <c r="O11" s="33">
        <v>2</v>
      </c>
    </row>
    <row r="12" spans="1:16" x14ac:dyDescent="0.2">
      <c r="N12" s="32" t="s">
        <v>19</v>
      </c>
      <c r="O12" s="33">
        <v>2</v>
      </c>
    </row>
    <row r="13" spans="1:16" ht="17" thickBot="1" x14ac:dyDescent="0.25">
      <c r="N13" s="34" t="s">
        <v>20</v>
      </c>
      <c r="O13" s="35">
        <v>4</v>
      </c>
    </row>
    <row r="15" spans="1:16" x14ac:dyDescent="0.2">
      <c r="A15" s="3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  <c r="O15" s="11"/>
    </row>
    <row r="16" spans="1:16" ht="17" thickBot="1" x14ac:dyDescent="0.25"/>
    <row r="17" spans="1:15" ht="21" thickBot="1" x14ac:dyDescent="0.3">
      <c r="A17" s="40" t="s">
        <v>28</v>
      </c>
      <c r="B17" s="41"/>
      <c r="C17" s="42"/>
    </row>
    <row r="18" spans="1:15" ht="17" thickTop="1" x14ac:dyDescent="0.2">
      <c r="A18" s="22" t="s">
        <v>4</v>
      </c>
      <c r="B18" s="7" t="s">
        <v>5</v>
      </c>
      <c r="C18" s="13" t="s">
        <v>31</v>
      </c>
    </row>
    <row r="19" spans="1:15" x14ac:dyDescent="0.2">
      <c r="A19" s="32">
        <v>1</v>
      </c>
      <c r="B19" s="3">
        <f>F7</f>
        <v>258.36</v>
      </c>
      <c r="C19" s="15">
        <f>SQRT($O$9^2+$O$10^2+$O$7^2+($O$8/1000000*B19)^2)</f>
        <v>5.7280770699695638E-3</v>
      </c>
    </row>
    <row r="20" spans="1:15" x14ac:dyDescent="0.2">
      <c r="A20" s="32">
        <v>2</v>
      </c>
      <c r="B20" s="3">
        <f>F8</f>
        <v>332.77</v>
      </c>
      <c r="C20" s="15">
        <f t="shared" ref="C20:C22" si="4">SQRT($O$9^2+$O$10^2+$O$7^2+($O$8/1000000*B20)^2)</f>
        <v>5.7434145638906395E-3</v>
      </c>
    </row>
    <row r="21" spans="1:15" x14ac:dyDescent="0.2">
      <c r="A21" s="32">
        <v>3</v>
      </c>
      <c r="B21" s="3">
        <f>F9</f>
        <v>379.12</v>
      </c>
      <c r="C21" s="15">
        <f t="shared" si="4"/>
        <v>5.7548931578884337E-3</v>
      </c>
    </row>
    <row r="22" spans="1:15" ht="17" thickBot="1" x14ac:dyDescent="0.25">
      <c r="A22" s="34">
        <v>4</v>
      </c>
      <c r="B22" s="17">
        <f>F10</f>
        <v>334.38</v>
      </c>
      <c r="C22" s="18">
        <f t="shared" si="4"/>
        <v>5.7437885840889991E-3</v>
      </c>
    </row>
    <row r="24" spans="1:15" x14ac:dyDescent="0.2">
      <c r="A24" s="3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17" thickBot="1" x14ac:dyDescent="0.25"/>
    <row r="26" spans="1:15" ht="21" thickBot="1" x14ac:dyDescent="0.3">
      <c r="A26" s="43" t="s">
        <v>26</v>
      </c>
      <c r="B26" s="44"/>
    </row>
    <row r="27" spans="1:15" ht="17" thickTop="1" x14ac:dyDescent="0.2">
      <c r="A27" s="45" t="s">
        <v>22</v>
      </c>
      <c r="B27" s="46"/>
    </row>
    <row r="28" spans="1:15" ht="17" thickBot="1" x14ac:dyDescent="0.25">
      <c r="A28" s="47">
        <f>O11/SQRT(O13)</f>
        <v>1</v>
      </c>
      <c r="B28" s="48"/>
    </row>
    <row r="29" spans="1:15" ht="17" thickBot="1" x14ac:dyDescent="0.25"/>
    <row r="30" spans="1:15" ht="21" thickBot="1" x14ac:dyDescent="0.3">
      <c r="A30" s="43" t="s">
        <v>27</v>
      </c>
      <c r="B30" s="44"/>
    </row>
    <row r="31" spans="1:15" ht="17" thickTop="1" x14ac:dyDescent="0.2">
      <c r="A31" s="49" t="s">
        <v>22</v>
      </c>
      <c r="B31" s="50"/>
    </row>
    <row r="32" spans="1:15" ht="17" thickBot="1" x14ac:dyDescent="0.25">
      <c r="A32" s="51">
        <f>O12/SQRT(O13)</f>
        <v>1</v>
      </c>
      <c r="B32" s="52"/>
    </row>
    <row r="33" spans="1:7" ht="17" thickBot="1" x14ac:dyDescent="0.25"/>
    <row r="34" spans="1:7" ht="21" thickBot="1" x14ac:dyDescent="0.3">
      <c r="A34" s="43" t="s">
        <v>24</v>
      </c>
      <c r="B34" s="53"/>
      <c r="C34" s="53"/>
      <c r="D34" s="53"/>
      <c r="E34" s="53"/>
      <c r="F34" s="53"/>
      <c r="G34" s="44"/>
    </row>
    <row r="35" spans="1:7" ht="17" thickTop="1" x14ac:dyDescent="0.2">
      <c r="A35" s="12" t="s">
        <v>4</v>
      </c>
      <c r="B35" s="7" t="s">
        <v>6</v>
      </c>
      <c r="C35" s="7" t="s">
        <v>5</v>
      </c>
      <c r="D35" s="7" t="s">
        <v>23</v>
      </c>
      <c r="E35" s="7" t="s">
        <v>21</v>
      </c>
      <c r="F35" s="7" t="s">
        <v>10</v>
      </c>
      <c r="G35" s="13" t="s">
        <v>22</v>
      </c>
    </row>
    <row r="36" spans="1:7" x14ac:dyDescent="0.2">
      <c r="A36" s="14">
        <v>1</v>
      </c>
      <c r="B36" s="3">
        <f>K7</f>
        <v>334.38</v>
      </c>
      <c r="C36" s="3">
        <f>F7</f>
        <v>258.36</v>
      </c>
      <c r="D36" s="3">
        <f>SQRT(B36^2+C36^2-(2*B36*C36*COS(RADIANS(E7))))</f>
        <v>478.74193915465401</v>
      </c>
      <c r="E36" s="3">
        <f>(D36/(B36*C36))*(($O$9)/SQRT(2))</f>
        <v>1.2931081452177413E-5</v>
      </c>
      <c r="F36" s="3">
        <f>DEGREES(E36)</f>
        <v>7.4089639174966537E-4</v>
      </c>
      <c r="G36" s="15">
        <f>F36*3600</f>
        <v>2.6672270102987952</v>
      </c>
    </row>
    <row r="37" spans="1:7" x14ac:dyDescent="0.2">
      <c r="A37" s="14">
        <v>2</v>
      </c>
      <c r="B37" s="3">
        <f t="shared" ref="B37:B39" si="5">K8</f>
        <v>258.36</v>
      </c>
      <c r="C37" s="3">
        <f t="shared" ref="C37:C39" si="6">F8</f>
        <v>332.77</v>
      </c>
      <c r="D37" s="3">
        <f>SQRT(B37^2+C37^2-(2*B37*C37*COS(RADIANS(E8))))</f>
        <v>434.91012623778386</v>
      </c>
      <c r="E37" s="3">
        <f t="shared" ref="E37:E39" si="7">(D37/(B37*C37))*(($O$9)/SQRT(2))</f>
        <v>1.1803995062025623E-5</v>
      </c>
      <c r="F37" s="3">
        <f t="shared" ref="F37:F39" si="8">DEGREES(E37)</f>
        <v>6.7631909844733263E-4</v>
      </c>
      <c r="G37" s="15">
        <f t="shared" ref="G37:G39" si="9">F37*3600</f>
        <v>2.4347487544103976</v>
      </c>
    </row>
    <row r="38" spans="1:7" x14ac:dyDescent="0.2">
      <c r="A38" s="14">
        <v>3</v>
      </c>
      <c r="B38" s="3">
        <f t="shared" si="5"/>
        <v>332.77</v>
      </c>
      <c r="C38" s="3">
        <f t="shared" si="6"/>
        <v>379.12</v>
      </c>
      <c r="D38" s="3">
        <f>SQRT(B38^2+C38^2-(2*B38*C38*COS(RADIANS(E9))))</f>
        <v>478.73884055289585</v>
      </c>
      <c r="E38" s="3">
        <f t="shared" si="7"/>
        <v>8.8547589551319209E-6</v>
      </c>
      <c r="F38" s="3">
        <f t="shared" si="8"/>
        <v>5.073403167347297E-4</v>
      </c>
      <c r="G38" s="15">
        <f t="shared" si="9"/>
        <v>1.8264251402450269</v>
      </c>
    </row>
    <row r="39" spans="1:7" ht="17" thickBot="1" x14ac:dyDescent="0.25">
      <c r="A39" s="16">
        <v>4</v>
      </c>
      <c r="B39" s="17">
        <f t="shared" si="5"/>
        <v>379.12</v>
      </c>
      <c r="C39" s="17">
        <f t="shared" si="6"/>
        <v>334.38</v>
      </c>
      <c r="D39" s="17">
        <f>SQRT(B39^2+C39^2-(2*B39*C39*COS(RADIANS(E10))))</f>
        <v>434.91318176135383</v>
      </c>
      <c r="E39" s="17">
        <f t="shared" si="7"/>
        <v>8.0054274085165486E-6</v>
      </c>
      <c r="F39" s="17">
        <f t="shared" si="8"/>
        <v>4.5867720370635018E-4</v>
      </c>
      <c r="G39" s="18">
        <f t="shared" si="9"/>
        <v>1.6512379333428606</v>
      </c>
    </row>
    <row r="40" spans="1:7" ht="17" thickBot="1" x14ac:dyDescent="0.25"/>
    <row r="41" spans="1:7" ht="21" thickBot="1" x14ac:dyDescent="0.3">
      <c r="A41" s="40" t="s">
        <v>25</v>
      </c>
      <c r="B41" s="41"/>
      <c r="C41" s="41"/>
      <c r="D41" s="41"/>
      <c r="E41" s="41"/>
      <c r="F41" s="42"/>
      <c r="G41" s="5"/>
    </row>
    <row r="42" spans="1:7" ht="17" thickTop="1" x14ac:dyDescent="0.2">
      <c r="A42" s="12" t="s">
        <v>4</v>
      </c>
      <c r="B42" s="7" t="s">
        <v>6</v>
      </c>
      <c r="C42" s="7" t="s">
        <v>5</v>
      </c>
      <c r="D42" s="7" t="s">
        <v>21</v>
      </c>
      <c r="E42" s="7" t="s">
        <v>10</v>
      </c>
      <c r="F42" s="13" t="s">
        <v>22</v>
      </c>
    </row>
    <row r="43" spans="1:7" x14ac:dyDescent="0.2">
      <c r="A43" s="14">
        <v>1</v>
      </c>
      <c r="B43" s="3">
        <f>K7</f>
        <v>334.38</v>
      </c>
      <c r="C43" s="3">
        <f>F7</f>
        <v>258.36</v>
      </c>
      <c r="D43" s="3">
        <f>(SQRT(B43^2+C43^2)/(B43*C43))*($O$10)</f>
        <v>1.6141366775375571E-5</v>
      </c>
      <c r="E43" s="3">
        <f>DEGREES(D43)</f>
        <v>9.2483219180171134E-4</v>
      </c>
      <c r="F43" s="15">
        <f>E43*3600</f>
        <v>3.3293958904861607</v>
      </c>
    </row>
    <row r="44" spans="1:7" x14ac:dyDescent="0.2">
      <c r="A44" s="14">
        <v>2</v>
      </c>
      <c r="B44" s="3">
        <f t="shared" ref="B44:B46" si="10">K8</f>
        <v>258.36</v>
      </c>
      <c r="C44" s="3">
        <f t="shared" ref="C44:C46" si="11">F8</f>
        <v>332.77</v>
      </c>
      <c r="D44" s="3">
        <f t="shared" ref="D44:D46" si="12">(SQRT(B44^2+C44^2)/(B44*C44))*($O$10)</f>
        <v>1.6170604587465625E-5</v>
      </c>
      <c r="E44" s="3">
        <f t="shared" ref="E44:E46" si="13">DEGREES(D44)</f>
        <v>9.2650739503666801E-4</v>
      </c>
      <c r="F44" s="15">
        <f t="shared" ref="F44:F46" si="14">E44*3600</f>
        <v>3.335426622132005</v>
      </c>
    </row>
    <row r="45" spans="1:7" x14ac:dyDescent="0.2">
      <c r="A45" s="14">
        <v>3</v>
      </c>
      <c r="B45" s="3">
        <f t="shared" si="10"/>
        <v>332.77</v>
      </c>
      <c r="C45" s="3">
        <f t="shared" si="11"/>
        <v>379.12</v>
      </c>
      <c r="D45" s="3">
        <f t="shared" si="12"/>
        <v>1.3195004279315072E-5</v>
      </c>
      <c r="E45" s="3">
        <f t="shared" si="13"/>
        <v>7.560180558618141E-4</v>
      </c>
      <c r="F45" s="15">
        <f t="shared" si="14"/>
        <v>2.7216650011025307</v>
      </c>
    </row>
    <row r="46" spans="1:7" ht="17" thickBot="1" x14ac:dyDescent="0.25">
      <c r="A46" s="16">
        <v>4</v>
      </c>
      <c r="B46" s="17">
        <f t="shared" si="10"/>
        <v>379.12</v>
      </c>
      <c r="C46" s="17">
        <f t="shared" si="11"/>
        <v>334.38</v>
      </c>
      <c r="D46" s="17">
        <f t="shared" si="12"/>
        <v>1.3159156758097275E-5</v>
      </c>
      <c r="E46" s="17">
        <f t="shared" si="13"/>
        <v>7.539641441900286E-4</v>
      </c>
      <c r="F46" s="18">
        <f t="shared" si="14"/>
        <v>2.714270919084103</v>
      </c>
    </row>
    <row r="47" spans="1:7" ht="17" thickBot="1" x14ac:dyDescent="0.25"/>
    <row r="48" spans="1:7" ht="21" thickBot="1" x14ac:dyDescent="0.3">
      <c r="A48" s="40" t="s">
        <v>37</v>
      </c>
      <c r="B48" s="41"/>
      <c r="C48" s="42"/>
      <c r="E48" s="54"/>
      <c r="F48" s="54"/>
      <c r="G48" s="54"/>
    </row>
    <row r="49" spans="1:15" ht="17" thickTop="1" x14ac:dyDescent="0.2">
      <c r="A49" s="22" t="s">
        <v>4</v>
      </c>
      <c r="B49" s="7" t="s">
        <v>22</v>
      </c>
      <c r="C49" s="13" t="s">
        <v>38</v>
      </c>
    </row>
    <row r="50" spans="1:15" x14ac:dyDescent="0.2">
      <c r="A50" s="32">
        <v>1</v>
      </c>
      <c r="B50" s="3">
        <f>SQRT(G36^2+F43^2+$A$28^2+$A$32^2)</f>
        <v>4.4943271932574715</v>
      </c>
      <c r="C50" s="15">
        <f>RADIANS(B50/3600)</f>
        <v>2.1789113106738437E-5</v>
      </c>
    </row>
    <row r="51" spans="1:15" x14ac:dyDescent="0.2">
      <c r="A51" s="32">
        <v>2</v>
      </c>
      <c r="B51" s="3">
        <f t="shared" ref="B51:B53" si="15">SQRT(G37^2+F44^2+$A$28^2+$A$32^2)</f>
        <v>4.3649825026831319</v>
      </c>
      <c r="C51" s="15">
        <f t="shared" ref="C51:C53" si="16">RADIANS(B51/3600)</f>
        <v>2.1162032351045242E-5</v>
      </c>
    </row>
    <row r="52" spans="1:15" x14ac:dyDescent="0.2">
      <c r="A52" s="32">
        <v>3</v>
      </c>
      <c r="B52" s="3">
        <f t="shared" si="15"/>
        <v>3.5697743865888087</v>
      </c>
      <c r="C52" s="15">
        <f t="shared" si="16"/>
        <v>1.7306754610926561E-5</v>
      </c>
    </row>
    <row r="53" spans="1:15" ht="17" thickBot="1" x14ac:dyDescent="0.25">
      <c r="A53" s="34">
        <v>4</v>
      </c>
      <c r="B53" s="17">
        <f t="shared" si="15"/>
        <v>3.4776217929349449</v>
      </c>
      <c r="C53" s="18">
        <f t="shared" si="16"/>
        <v>1.685998622939535E-5</v>
      </c>
    </row>
    <row r="55" spans="1:15" x14ac:dyDescent="0.2">
      <c r="A55" s="39"/>
      <c r="B55" s="9"/>
      <c r="C55" s="9"/>
      <c r="D55" s="9"/>
      <c r="E55" s="10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ht="17" thickBot="1" x14ac:dyDescent="0.25"/>
    <row r="57" spans="1:15" ht="21" thickBot="1" x14ac:dyDescent="0.3">
      <c r="A57" s="43" t="s">
        <v>32</v>
      </c>
      <c r="B57" s="53"/>
      <c r="C57" s="53"/>
      <c r="D57" s="53"/>
      <c r="E57" s="53"/>
      <c r="F57" s="53"/>
      <c r="G57" s="44"/>
    </row>
    <row r="58" spans="1:15" ht="17" thickTop="1" x14ac:dyDescent="0.2">
      <c r="A58" s="22" t="s">
        <v>42</v>
      </c>
      <c r="B58" s="7" t="s">
        <v>33</v>
      </c>
      <c r="C58" s="7" t="s">
        <v>34</v>
      </c>
      <c r="D58" s="7" t="s">
        <v>35</v>
      </c>
      <c r="E58" s="7" t="s">
        <v>36</v>
      </c>
      <c r="F58" s="7" t="s">
        <v>35</v>
      </c>
      <c r="G58" s="13" t="s">
        <v>45</v>
      </c>
    </row>
    <row r="59" spans="1:15" x14ac:dyDescent="0.2">
      <c r="A59" s="24" t="str">
        <f>"1-2"</f>
        <v>1-2</v>
      </c>
      <c r="B59" s="3">
        <f>COS(RADIANS(J7))*F7</f>
        <v>32.38730765306083</v>
      </c>
      <c r="C59" s="3">
        <f>COS(RADIANS(J7)+C50)*F7</f>
        <v>32.381722616994104</v>
      </c>
      <c r="D59" s="3">
        <f>B59-C59</f>
        <v>5.5850360667264454E-3</v>
      </c>
      <c r="E59" s="3">
        <f>COS(RADIANS(J7))*(F7+C19)</f>
        <v>32.388025709239521</v>
      </c>
      <c r="F59" s="3">
        <f>B59-E59</f>
        <v>-7.1805617869102889E-4</v>
      </c>
      <c r="G59" s="36">
        <f>SQRT(D59^2+F59^2)</f>
        <v>5.6310063525440608E-3</v>
      </c>
    </row>
    <row r="60" spans="1:15" x14ac:dyDescent="0.2">
      <c r="A60" s="24" t="str">
        <f>"2-3"</f>
        <v>2-3</v>
      </c>
      <c r="B60" s="3">
        <f>COS(RADIANS(J8))*F8</f>
        <v>332.2139260847714</v>
      </c>
      <c r="C60" s="3">
        <f>COS(RADIANS(J8)+C51)*F8</f>
        <v>332.2143329492859</v>
      </c>
      <c r="D60" s="3">
        <f t="shared" ref="D60:D62" si="17">B60-C60</f>
        <v>-4.0686451450255845E-4</v>
      </c>
      <c r="E60" s="3">
        <f>COS(RADIANS(J8))*(F8+C20)</f>
        <v>332.21965990182639</v>
      </c>
      <c r="F60" s="3">
        <f t="shared" ref="F60:F62" si="18">B60-E60</f>
        <v>-5.7338170549883216E-3</v>
      </c>
      <c r="G60" s="36">
        <f t="shared" ref="G60:G62" si="19">SQRT(D60^2+F60^2)</f>
        <v>5.7482342291556238E-3</v>
      </c>
    </row>
    <row r="61" spans="1:15" x14ac:dyDescent="0.2">
      <c r="A61" s="24" t="str">
        <f>"3-4"</f>
        <v>3-4</v>
      </c>
      <c r="B61" s="3">
        <f>COS(RADIANS(J9))*F9</f>
        <v>-59.714048145805712</v>
      </c>
      <c r="C61" s="3">
        <f>COS(RADIANS(J9)+C52)*F9</f>
        <v>-59.70756869949382</v>
      </c>
      <c r="D61" s="3">
        <f t="shared" si="17"/>
        <v>-6.4794463118929002E-3</v>
      </c>
      <c r="E61" s="3">
        <f>COS(RADIANS(J9))*(F9+C21)</f>
        <v>-59.71495458167589</v>
      </c>
      <c r="F61" s="3">
        <f t="shared" si="18"/>
        <v>9.0643587017780192E-4</v>
      </c>
      <c r="G61" s="36">
        <f t="shared" si="19"/>
        <v>6.5425415929474609E-3</v>
      </c>
    </row>
    <row r="62" spans="1:15" ht="17" thickBot="1" x14ac:dyDescent="0.25">
      <c r="A62" s="26" t="str">
        <f>"4-1"</f>
        <v>4-1</v>
      </c>
      <c r="B62" s="17">
        <f>COS(RADIANS(J10))*F10</f>
        <v>-304.89230114724757</v>
      </c>
      <c r="C62" s="3">
        <f>COS(RADIANS(J10)+C53)*F10</f>
        <v>-304.89461594190004</v>
      </c>
      <c r="D62" s="17">
        <f t="shared" si="17"/>
        <v>2.3147946524773033E-3</v>
      </c>
      <c r="E62" s="17">
        <f>COS(RADIANS(J10))*(F10+C22)</f>
        <v>-304.89753841298921</v>
      </c>
      <c r="F62" s="17">
        <f t="shared" si="18"/>
        <v>5.2372657416412949E-3</v>
      </c>
      <c r="G62" s="37">
        <f t="shared" si="19"/>
        <v>5.7260131620270544E-3</v>
      </c>
    </row>
    <row r="63" spans="1:15" ht="17" thickBot="1" x14ac:dyDescent="0.25"/>
    <row r="64" spans="1:15" ht="21" thickBot="1" x14ac:dyDescent="0.3">
      <c r="A64" s="43" t="s">
        <v>39</v>
      </c>
      <c r="B64" s="53"/>
      <c r="C64" s="53"/>
      <c r="D64" s="53"/>
      <c r="E64" s="53"/>
      <c r="F64" s="53"/>
      <c r="G64" s="44"/>
    </row>
    <row r="65" spans="1:15" ht="17" thickTop="1" x14ac:dyDescent="0.2">
      <c r="A65" s="22" t="s">
        <v>42</v>
      </c>
      <c r="B65" s="7" t="s">
        <v>33</v>
      </c>
      <c r="C65" s="7" t="s">
        <v>34</v>
      </c>
      <c r="D65" s="7" t="s">
        <v>35</v>
      </c>
      <c r="E65" s="7" t="s">
        <v>36</v>
      </c>
      <c r="F65" s="7" t="s">
        <v>35</v>
      </c>
      <c r="G65" s="13" t="s">
        <v>46</v>
      </c>
    </row>
    <row r="66" spans="1:15" x14ac:dyDescent="0.2">
      <c r="A66" s="24" t="str">
        <f>"1-2"</f>
        <v>1-2</v>
      </c>
      <c r="B66" s="3">
        <f>SIN(RADIANS(J7))*F7</f>
        <v>256.32196921642515</v>
      </c>
      <c r="C66" s="3">
        <f>SIN(RADIANS(J7)+C50)*F7</f>
        <v>256.32267484628835</v>
      </c>
      <c r="D66" s="3">
        <f>B66-C66</f>
        <v>-7.056298632051039E-4</v>
      </c>
      <c r="E66" s="3">
        <f>SIN(RADIANS(J7))*(F7+C19)</f>
        <v>256.32765210849203</v>
      </c>
      <c r="F66" s="3">
        <f>B66-E66</f>
        <v>-5.6828920668863248E-3</v>
      </c>
      <c r="G66" s="36">
        <f>SQRT(D66^2+F66^2)</f>
        <v>5.7265326112514526E-3</v>
      </c>
    </row>
    <row r="67" spans="1:15" x14ac:dyDescent="0.2">
      <c r="A67" s="24" t="str">
        <f>"2-3"</f>
        <v>2-3</v>
      </c>
      <c r="B67" s="3">
        <f>SIN(RADIANS(J8))*F8</f>
        <v>-19.229670182872308</v>
      </c>
      <c r="C67" s="3">
        <f>SIN(RADIANS(J8)+C51)*F8</f>
        <v>-19.222639856715627</v>
      </c>
      <c r="D67" s="3">
        <f t="shared" ref="D67:D69" si="20">B67-C67</f>
        <v>-7.0303261566806441E-3</v>
      </c>
      <c r="E67" s="3">
        <f>SIN(RADIANS(J8))*(F8+C20)</f>
        <v>-19.230002075674506</v>
      </c>
      <c r="F67" s="3">
        <f t="shared" ref="F67:F69" si="21">B67-E67</f>
        <v>3.3189280219758643E-4</v>
      </c>
      <c r="G67" s="36">
        <f t="shared" ref="G67:G69" si="22">SQRT(D67^2+F67^2)</f>
        <v>7.0381559162509752E-3</v>
      </c>
    </row>
    <row r="68" spans="1:15" x14ac:dyDescent="0.2">
      <c r="A68" s="24" t="str">
        <f>"3-4"</f>
        <v>3-4</v>
      </c>
      <c r="B68" s="3">
        <f>SIN(RADIANS(J9))*F9</f>
        <v>-374.38777604783036</v>
      </c>
      <c r="C68" s="3">
        <f>SIN(RADIANS(J9)+C52)*F9</f>
        <v>-374.3888094481394</v>
      </c>
      <c r="D68" s="3">
        <f t="shared" si="20"/>
        <v>1.0334003090406441E-3</v>
      </c>
      <c r="E68" s="3">
        <f>SIN(RADIANS(J9))*(F9+C21)</f>
        <v>-374.39345910768151</v>
      </c>
      <c r="F68" s="3">
        <f t="shared" si="21"/>
        <v>5.6830598511510289E-3</v>
      </c>
      <c r="G68" s="36">
        <f t="shared" si="22"/>
        <v>5.7762518531042301E-3</v>
      </c>
    </row>
    <row r="69" spans="1:15" ht="17" thickBot="1" x14ac:dyDescent="0.25">
      <c r="A69" s="26" t="str">
        <f>"4-1"</f>
        <v>4-1</v>
      </c>
      <c r="B69" s="17">
        <f>SIN(RADIANS(J10))*F10</f>
        <v>137.29773887845388</v>
      </c>
      <c r="C69" s="3">
        <f>SIN(RADIANS(J10)+C53)*F10</f>
        <v>137.29259837894128</v>
      </c>
      <c r="D69" s="17">
        <f t="shared" si="20"/>
        <v>5.1404995126063113E-3</v>
      </c>
      <c r="E69" s="17">
        <f>SIN(RADIANS(J10))*(F10+C22)</f>
        <v>137.30009730056403</v>
      </c>
      <c r="F69" s="17">
        <f t="shared" si="21"/>
        <v>-2.3584221101486946E-3</v>
      </c>
      <c r="G69" s="37">
        <f t="shared" si="22"/>
        <v>5.6556953673924087E-3</v>
      </c>
    </row>
    <row r="70" spans="1:15" ht="17" thickBot="1" x14ac:dyDescent="0.25"/>
    <row r="71" spans="1:15" ht="21" thickBot="1" x14ac:dyDescent="0.3">
      <c r="A71" s="40" t="s">
        <v>43</v>
      </c>
      <c r="B71" s="42"/>
    </row>
    <row r="72" spans="1:15" ht="17" thickTop="1" x14ac:dyDescent="0.2">
      <c r="A72" s="22" t="s">
        <v>42</v>
      </c>
      <c r="B72" s="13" t="s">
        <v>41</v>
      </c>
    </row>
    <row r="73" spans="1:15" x14ac:dyDescent="0.2">
      <c r="A73" s="24" t="str">
        <f>"1-2"</f>
        <v>1-2</v>
      </c>
      <c r="B73" s="36">
        <f>SQRT(G59^2+G66^2)</f>
        <v>8.0312768779390205E-3</v>
      </c>
    </row>
    <row r="74" spans="1:15" x14ac:dyDescent="0.2">
      <c r="A74" s="24" t="str">
        <f>"2-3"</f>
        <v>2-3</v>
      </c>
      <c r="B74" s="36">
        <f t="shared" ref="B74:B76" si="23">SQRT(G60^2+G67^2)</f>
        <v>9.0872347529209873E-3</v>
      </c>
    </row>
    <row r="75" spans="1:15" x14ac:dyDescent="0.2">
      <c r="A75" s="24" t="str">
        <f>"3-4"</f>
        <v>3-4</v>
      </c>
      <c r="B75" s="36">
        <f t="shared" si="23"/>
        <v>8.7275389409579573E-3</v>
      </c>
    </row>
    <row r="76" spans="1:15" ht="17" thickBot="1" x14ac:dyDescent="0.25">
      <c r="A76" s="26" t="str">
        <f>"4-1"</f>
        <v>4-1</v>
      </c>
      <c r="B76" s="37">
        <f t="shared" si="23"/>
        <v>8.0482368765122103E-3</v>
      </c>
    </row>
    <row r="78" spans="1:15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</sheetData>
  <mergeCells count="16">
    <mergeCell ref="A57:G57"/>
    <mergeCell ref="A64:G64"/>
    <mergeCell ref="A71:B71"/>
    <mergeCell ref="A17:C17"/>
    <mergeCell ref="A26:B26"/>
    <mergeCell ref="A27:B27"/>
    <mergeCell ref="A28:B28"/>
    <mergeCell ref="A30:B30"/>
    <mergeCell ref="A31:B31"/>
    <mergeCell ref="N5:O5"/>
    <mergeCell ref="A34:G34"/>
    <mergeCell ref="A41:F41"/>
    <mergeCell ref="A48:C48"/>
    <mergeCell ref="E48:G48"/>
    <mergeCell ref="A5:L5"/>
    <mergeCell ref="A32:B3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Traverse 1</vt:lpstr>
      <vt:lpstr>Traverse 2</vt:lpstr>
      <vt:lpstr>Example Traverse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Francis Cabbage</dc:creator>
  <cp:lastModifiedBy>Gavin Francis Cabbage</cp:lastModifiedBy>
  <dcterms:created xsi:type="dcterms:W3CDTF">2026-09-25T18:28:51Z</dcterms:created>
  <dcterms:modified xsi:type="dcterms:W3CDTF">2026-10-07T12:26:12Z</dcterms:modified>
</cp:coreProperties>
</file>